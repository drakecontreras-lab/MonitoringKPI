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itoringspa-my.sharepoint.com/personal/jose_contreras_monitoring_cl/Documents/GSYS/Reportes/"/>
    </mc:Choice>
  </mc:AlternateContent>
  <xr:revisionPtr revIDLastSave="158" documentId="8_{72B16CB1-4B08-4550-80D9-1DF15BAA0C6D}" xr6:coauthVersionLast="47" xr6:coauthVersionMax="47" xr10:uidLastSave="{002DAD7E-C14D-4290-B98F-33501BA41920}"/>
  <bookViews>
    <workbookView xWindow="28680" yWindow="1665" windowWidth="29040" windowHeight="15720" firstSheet="1" activeTab="6" xr2:uid="{0293C841-9547-4F8B-8FBC-2189CC3AF0B7}"/>
  </bookViews>
  <sheets>
    <sheet name="Data" sheetId="8" state="hidden" r:id="rId1"/>
    <sheet name="Tabla" sheetId="2" r:id="rId2"/>
    <sheet name="Avisos Pendientes" sheetId="3" r:id="rId3"/>
    <sheet name="Órdenes Pendientes" sheetId="4" r:id="rId4"/>
    <sheet name="% Trabajo Planificado" sheetId="5" r:id="rId5"/>
    <sheet name="Programa Semanal" sheetId="6" r:id="rId6"/>
    <sheet name="Plan Matriz" sheetId="7" r:id="rId7"/>
  </sheet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" i="5" l="1"/>
  <c r="G33" i="2"/>
  <c r="G36" i="2"/>
  <c r="H22" i="2"/>
  <c r="G43" i="2"/>
  <c r="G45" i="2"/>
  <c r="G46" i="2"/>
  <c r="G47" i="2"/>
  <c r="G35" i="2"/>
  <c r="H27" i="2"/>
  <c r="H23" i="2"/>
  <c r="H24" i="2"/>
  <c r="H25" i="2"/>
  <c r="H26" i="2"/>
  <c r="J2" i="5" a="1"/>
  <c r="J2" i="5"/>
  <c r="J3" i="5" a="1"/>
  <c r="J3" i="5" s="1"/>
  <c r="J4" i="5" a="1"/>
  <c r="J4" i="5" s="1"/>
  <c r="J5" i="5" a="1"/>
  <c r="J5" i="5" s="1"/>
  <c r="J6" i="5" a="1"/>
  <c r="J6" i="5" s="1"/>
  <c r="J7" i="5" a="1"/>
  <c r="J7" i="5" s="1"/>
  <c r="J8" i="5" a="1"/>
  <c r="J8" i="5"/>
  <c r="J9" i="5" a="1"/>
  <c r="J9" i="5" s="1"/>
  <c r="J10" i="5" a="1"/>
  <c r="J10" i="5"/>
  <c r="J11" i="5" a="1"/>
  <c r="J11" i="5"/>
  <c r="J12" i="5" a="1"/>
  <c r="J12" i="5" s="1"/>
  <c r="J13" i="5" a="1"/>
  <c r="J13" i="5"/>
  <c r="J14" i="5" a="1"/>
  <c r="J14" i="5"/>
  <c r="J15" i="5" a="1"/>
  <c r="J15" i="5" s="1"/>
  <c r="J16" i="5" a="1"/>
  <c r="J16" i="5"/>
  <c r="J17" i="5" a="1"/>
  <c r="J17" i="5"/>
  <c r="J18" i="5" a="1"/>
  <c r="J18" i="5" s="1"/>
  <c r="J19" i="5" a="1"/>
  <c r="J19" i="5"/>
  <c r="J20" i="5" a="1"/>
  <c r="J20" i="5"/>
  <c r="J21" i="5" a="1"/>
  <c r="J21" i="5" s="1"/>
  <c r="J22" i="5" a="1"/>
  <c r="J22" i="5"/>
  <c r="J23" i="5" a="1"/>
  <c r="J23" i="5"/>
  <c r="J24" i="5" a="1"/>
  <c r="J24" i="5" s="1"/>
  <c r="J25" i="5" a="1"/>
  <c r="J25" i="5" s="1"/>
  <c r="J26" i="5" a="1"/>
  <c r="J26" i="5"/>
  <c r="J27" i="5" a="1"/>
  <c r="J27" i="5" s="1"/>
  <c r="J28" i="5" a="1"/>
  <c r="J28" i="5"/>
  <c r="J29" i="5" a="1"/>
  <c r="J29" i="5"/>
  <c r="J30" i="5" a="1"/>
  <c r="J30" i="5" s="1"/>
  <c r="J31" i="5" a="1"/>
  <c r="J31" i="5"/>
  <c r="J32" i="5" a="1"/>
  <c r="J32" i="5"/>
  <c r="J33" i="5" a="1"/>
  <c r="J33" i="5" s="1"/>
  <c r="J34" i="5" a="1"/>
  <c r="J34" i="5"/>
  <c r="J35" i="5" a="1"/>
  <c r="J35" i="5"/>
  <c r="J36" i="5" a="1"/>
  <c r="J36" i="5" s="1"/>
  <c r="J37" i="5" a="1"/>
  <c r="J37" i="5"/>
  <c r="J38" i="5" a="1"/>
  <c r="J38" i="5"/>
  <c r="J39" i="5" a="1"/>
  <c r="J39" i="5" s="1"/>
  <c r="J40" i="5" a="1"/>
  <c r="J40" i="5" s="1"/>
  <c r="J41" i="5" a="1"/>
  <c r="J41" i="5"/>
  <c r="J42" i="5" a="1"/>
  <c r="J42" i="5" s="1"/>
  <c r="J43" i="5" a="1"/>
  <c r="J43" i="5"/>
  <c r="J44" i="5" a="1"/>
  <c r="J44" i="5"/>
  <c r="J45" i="5" a="1"/>
  <c r="J45" i="5" s="1"/>
  <c r="J46" i="5" a="1"/>
  <c r="J46" i="5"/>
  <c r="J47" i="5" a="1"/>
  <c r="J47" i="5"/>
  <c r="J48" i="5" a="1"/>
  <c r="J48" i="5" s="1"/>
  <c r="J49" i="5" a="1"/>
  <c r="J49" i="5"/>
  <c r="J50" i="5" a="1"/>
  <c r="J50" i="5"/>
  <c r="J51" i="5" a="1"/>
  <c r="J51" i="5" s="1"/>
  <c r="J52" i="5" a="1"/>
  <c r="J52" i="5"/>
  <c r="J53" i="5" a="1"/>
  <c r="J53" i="5"/>
  <c r="J54" i="5" a="1"/>
  <c r="J54" i="5" s="1"/>
  <c r="J55" i="5" a="1"/>
  <c r="J55" i="5"/>
  <c r="J56" i="5" a="1"/>
  <c r="J56" i="5"/>
  <c r="J57" i="5" a="1"/>
  <c r="J57" i="5" s="1"/>
  <c r="J58" i="5" a="1"/>
  <c r="J58" i="5"/>
  <c r="J59" i="5" a="1"/>
  <c r="J59" i="5"/>
  <c r="J60" i="5" a="1"/>
  <c r="J60" i="5" s="1"/>
  <c r="J61" i="5" a="1"/>
  <c r="J61" i="5"/>
  <c r="J62" i="5" a="1"/>
  <c r="J62" i="5"/>
  <c r="J63" i="5" a="1"/>
  <c r="J63" i="5" s="1"/>
  <c r="J64" i="5" a="1"/>
  <c r="J64" i="5"/>
  <c r="J65" i="5" a="1"/>
  <c r="J65" i="5"/>
  <c r="J66" i="5" a="1"/>
  <c r="J66" i="5" s="1"/>
  <c r="J67" i="5" a="1"/>
  <c r="J67" i="5"/>
  <c r="J68" i="5" a="1"/>
  <c r="J68" i="5"/>
  <c r="J69" i="5" a="1"/>
  <c r="J69" i="5" s="1"/>
  <c r="J70" i="5" a="1"/>
  <c r="J70" i="5"/>
  <c r="J71" i="5" a="1"/>
  <c r="J71" i="5"/>
  <c r="J72" i="5" a="1"/>
  <c r="J72" i="5" s="1"/>
  <c r="J73" i="5" a="1"/>
  <c r="J73" i="5"/>
  <c r="J74" i="5" a="1"/>
  <c r="J74" i="5" s="1"/>
  <c r="J75" i="5" a="1"/>
  <c r="J75" i="5" s="1"/>
  <c r="J76" i="5" a="1"/>
  <c r="J76" i="5"/>
  <c r="J77" i="5" a="1"/>
  <c r="J77" i="5"/>
  <c r="J78" i="5" a="1"/>
  <c r="J78" i="5" s="1"/>
  <c r="J79" i="5" a="1"/>
  <c r="J79" i="5"/>
  <c r="J80" i="5" a="1"/>
  <c r="J80" i="5"/>
  <c r="J81" i="5" a="1"/>
  <c r="J81" i="5" s="1"/>
  <c r="J82" i="5" a="1"/>
  <c r="J82" i="5"/>
  <c r="J83" i="5" a="1"/>
  <c r="J83" i="5"/>
  <c r="J84" i="5" a="1"/>
  <c r="J84" i="5" s="1"/>
  <c r="J85" i="5" a="1"/>
  <c r="J85" i="5"/>
  <c r="J86" i="5" a="1"/>
  <c r="J86" i="5"/>
  <c r="J87" i="5" a="1"/>
  <c r="J87" i="5" s="1"/>
  <c r="J88" i="5" a="1"/>
  <c r="J88" i="5"/>
  <c r="J89" i="5" a="1"/>
  <c r="J89" i="5"/>
  <c r="J90" i="5" a="1"/>
  <c r="J90" i="5" s="1"/>
  <c r="J91" i="5" a="1"/>
  <c r="J91" i="5"/>
  <c r="J92" i="5" a="1"/>
  <c r="J92" i="5"/>
  <c r="J93" i="5" a="1"/>
  <c r="J93" i="5" s="1"/>
  <c r="J94" i="5" a="1"/>
  <c r="J94" i="5"/>
  <c r="J95" i="5" a="1"/>
  <c r="J95" i="5"/>
  <c r="J96" i="5" a="1"/>
  <c r="J96" i="5" s="1"/>
  <c r="J97" i="5" a="1"/>
  <c r="J97" i="5"/>
  <c r="J98" i="5" a="1"/>
  <c r="J98" i="5"/>
  <c r="J99" i="5" a="1"/>
  <c r="J99" i="5" s="1"/>
  <c r="J100" i="5" a="1"/>
  <c r="J100" i="5"/>
  <c r="J101" i="5" a="1"/>
  <c r="J101" i="5"/>
  <c r="J102" i="5" a="1"/>
  <c r="J102" i="5" s="1"/>
  <c r="J103" i="5" a="1"/>
  <c r="J103" i="5"/>
  <c r="J104" i="5" a="1"/>
  <c r="J104" i="5"/>
  <c r="J105" i="5" a="1"/>
  <c r="J105" i="5" s="1"/>
  <c r="J106" i="5" a="1"/>
  <c r="J106" i="5"/>
  <c r="J107" i="5" a="1"/>
  <c r="J107" i="5"/>
  <c r="J108" i="5" a="1"/>
  <c r="J108" i="5" s="1"/>
  <c r="J109" i="5" a="1"/>
  <c r="J109" i="5"/>
  <c r="J110" i="5" a="1"/>
  <c r="J110" i="5"/>
  <c r="J111" i="5" a="1"/>
  <c r="J111" i="5" s="1"/>
  <c r="J112" i="5" a="1"/>
  <c r="J112" i="5"/>
  <c r="J113" i="5" a="1"/>
  <c r="J113" i="5"/>
  <c r="J114" i="5" a="1"/>
  <c r="J114" i="5" s="1"/>
  <c r="J115" i="5" a="1"/>
  <c r="J115" i="5"/>
  <c r="J116" i="5" a="1"/>
  <c r="J116" i="5"/>
  <c r="J117" i="5" a="1"/>
  <c r="J117" i="5" s="1"/>
  <c r="J118" i="5" a="1"/>
  <c r="J118" i="5"/>
  <c r="J119" i="5" a="1"/>
  <c r="J119" i="5"/>
  <c r="J120" i="5" a="1"/>
  <c r="J120" i="5" s="1"/>
  <c r="J121" i="5" a="1"/>
  <c r="J121" i="5"/>
  <c r="J122" i="5" a="1"/>
  <c r="J122" i="5"/>
  <c r="J123" i="5" a="1"/>
  <c r="J123" i="5" s="1"/>
  <c r="J124" i="5" a="1"/>
  <c r="J124" i="5"/>
  <c r="J125" i="5" a="1"/>
  <c r="J125" i="5"/>
  <c r="J126" i="5" a="1"/>
  <c r="J126" i="5" s="1"/>
  <c r="J127" i="5" a="1"/>
  <c r="J127" i="5"/>
  <c r="J128" i="5" a="1"/>
  <c r="J128" i="5"/>
  <c r="J129" i="5" a="1"/>
  <c r="J129" i="5" s="1"/>
  <c r="J130" i="5" a="1"/>
  <c r="J130" i="5"/>
  <c r="J131" i="5" a="1"/>
  <c r="J131" i="5"/>
  <c r="J132" i="5" a="1"/>
  <c r="J132" i="5" s="1"/>
  <c r="J133" i="5" a="1"/>
  <c r="J133" i="5"/>
  <c r="J134" i="5" a="1"/>
  <c r="J134" i="5"/>
  <c r="J135" i="5" a="1"/>
  <c r="J135" i="5" s="1"/>
  <c r="J136" i="5" a="1"/>
  <c r="J136" i="5"/>
  <c r="J137" i="5" a="1"/>
  <c r="J137" i="5"/>
  <c r="J138" i="5" a="1"/>
  <c r="J138" i="5" s="1"/>
  <c r="J139" i="5" a="1"/>
  <c r="J139" i="5"/>
  <c r="J140" i="5" a="1"/>
  <c r="J140" i="5"/>
  <c r="J141" i="5" a="1"/>
  <c r="J141" i="5" s="1"/>
  <c r="J142" i="5" a="1"/>
  <c r="J142" i="5"/>
  <c r="J143" i="5" a="1"/>
  <c r="J143" i="5"/>
  <c r="J144" i="5" a="1"/>
  <c r="J144" i="5" s="1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<sst xmlns="http://schemas.openxmlformats.org/spreadsheetml/2006/main" count="6909" uniqueCount="936">
  <si>
    <t>Año natural/Semana</t>
  </si>
  <si>
    <t>Fase</t>
  </si>
  <si>
    <t>Proceso</t>
  </si>
  <si>
    <t>SubProceso</t>
  </si>
  <si>
    <t>Aviso</t>
  </si>
  <si>
    <t>Clase de aviso</t>
  </si>
  <si>
    <t>Prioridad</t>
  </si>
  <si>
    <t>Status de Sistema</t>
  </si>
  <si>
    <t>Fecha Aviso PM</t>
  </si>
  <si>
    <t>Gr.planif.PM</t>
  </si>
  <si>
    <t>Orden mantenimiento</t>
  </si>
  <si>
    <t>Puesto de trabajo</t>
  </si>
  <si>
    <t>Número de avisos pendientes</t>
  </si>
  <si>
    <t>18.2026</t>
  </si>
  <si>
    <t>08 INFR SERVIC Y SUMIN DCH</t>
  </si>
  <si>
    <t>02 SUMINISTRO ELECTRICO DCH</t>
  </si>
  <si>
    <t>CDEE</t>
  </si>
  <si>
    <t>29998837</t>
  </si>
  <si>
    <t>Descargar Printout Celdas 34.5KV Tchitak</t>
  </si>
  <si>
    <t>M1</t>
  </si>
  <si>
    <t>3</t>
  </si>
  <si>
    <t>DOCU MEAB</t>
  </si>
  <si>
    <t>Pl.Dist.Energ.Elec</t>
  </si>
  <si>
    <t>#</t>
  </si>
  <si>
    <t>Sin asignar</t>
  </si>
  <si>
    <t>MANT &amp; PLANIF SUMINISTRO ELECTRICO</t>
  </si>
  <si>
    <t>30001811</t>
  </si>
  <si>
    <t>EJE IMAGEN TERMICA DE DEFECTUOSO TR14</t>
  </si>
  <si>
    <t>30007775</t>
  </si>
  <si>
    <t>Ejec: ATR 2 SE Chuquicamata 220/100 KV</t>
  </si>
  <si>
    <t>30013617</t>
  </si>
  <si>
    <t>STNcierre perimetral y accesos bloqueado</t>
  </si>
  <si>
    <t>30013618</t>
  </si>
  <si>
    <t>rep. de fugas de aceite en unit. 25-A</t>
  </si>
  <si>
    <t>2</t>
  </si>
  <si>
    <t>CHSS-SE</t>
  </si>
  <si>
    <t>30012249</t>
  </si>
  <si>
    <t>cambio presostato acoplador de barra</t>
  </si>
  <si>
    <t>30011912</t>
  </si>
  <si>
    <t>Fab. de tablero de control motores TR5-b</t>
  </si>
  <si>
    <t>MEAB</t>
  </si>
  <si>
    <t>Resultado total</t>
  </si>
  <si>
    <t>Sub-Proceso</t>
  </si>
  <si>
    <t>Clase de orden</t>
  </si>
  <si>
    <t>Clase actividad PM</t>
  </si>
  <si>
    <t>Número de OT Pendientes</t>
  </si>
  <si>
    <t>Pl.Termoelec.Chuq.</t>
  </si>
  <si>
    <t>03 PLANTAS DE SUMINISTROS DCH</t>
  </si>
  <si>
    <t>CHSS-SU</t>
  </si>
  <si>
    <t>109500285</t>
  </si>
  <si>
    <t>CAMBIO BBA 3B - FILTRACION</t>
  </si>
  <si>
    <t>LIB. NOTP DOCU IMOP MACO MOVM PREC PROG</t>
  </si>
  <si>
    <t>PL</t>
  </si>
  <si>
    <t>Correctivo Planificado</t>
  </si>
  <si>
    <t>025</t>
  </si>
  <si>
    <t>17.2026</t>
  </si>
  <si>
    <t>MANT &amp; PLANIF CENTRAL TERMICA SULFUROS</t>
  </si>
  <si>
    <t>109500289</t>
  </si>
  <si>
    <t>CAMBIO BBA 3C - FILTRACION</t>
  </si>
  <si>
    <t>109501785</t>
  </si>
  <si>
    <t>CAMBIO BBA 1B - FILTRACION SELLOS</t>
  </si>
  <si>
    <t>LIB. NOTP DOCU IMOP MACO PREC PROG TRAT</t>
  </si>
  <si>
    <t>16.2026</t>
  </si>
  <si>
    <t>109654371</t>
  </si>
  <si>
    <t>FUCO26 Cambio Tubo nivel Des Caldera 3</t>
  </si>
  <si>
    <t>LIB. NOTI IMOP JBFI MACO MOVM PREC PROG</t>
  </si>
  <si>
    <t>110011685</t>
  </si>
  <si>
    <t>CTR FILTROS DE CARTUCHOS SATURADOS-MALOS</t>
  </si>
  <si>
    <t>LIB. IMOP MACO MOVM PREC PROG TRAT</t>
  </si>
  <si>
    <t>11.2026</t>
  </si>
  <si>
    <t>Pl.Tall.Electr.Cen</t>
  </si>
  <si>
    <t>01 INFRAESTRUC CONC DCH</t>
  </si>
  <si>
    <t>110454096</t>
  </si>
  <si>
    <t>22-5523 200HP 4160V 290RPM FLA</t>
  </si>
  <si>
    <t>LIB. IMOP KKMP MOVM PREC TRAT</t>
  </si>
  <si>
    <t>ST</t>
  </si>
  <si>
    <t>Reparación</t>
  </si>
  <si>
    <t>060</t>
  </si>
  <si>
    <t>MANT &amp; PLANIF. TALLER ELECTRICO CENTRAL</t>
  </si>
  <si>
    <t>Pl.Maestranza.Cent</t>
  </si>
  <si>
    <t>110150639</t>
  </si>
  <si>
    <t>Rectificar placa base piñón BM</t>
  </si>
  <si>
    <t>LIB. IMOP KKMP PREC TRAT</t>
  </si>
  <si>
    <t>SERVICIO INTERNO MAESTRANZA</t>
  </si>
  <si>
    <t>110304391</t>
  </si>
  <si>
    <t>perforar pillow block piñón mobos 18</t>
  </si>
  <si>
    <t>Modificación</t>
  </si>
  <si>
    <t>050</t>
  </si>
  <si>
    <t>110304394</t>
  </si>
  <si>
    <t>rebajar base pillow block piñón sag-18</t>
  </si>
  <si>
    <t>110304610</t>
  </si>
  <si>
    <t>mecanizar acoplamiento reductor feeder</t>
  </si>
  <si>
    <t>110304611</t>
  </si>
  <si>
    <t>ensamblado de rueda tripeer</t>
  </si>
  <si>
    <t>99 ESENCIALES INFRA. SERV. DCH</t>
  </si>
  <si>
    <t>02 GRUAS INFRA DCH</t>
  </si>
  <si>
    <t>110379900</t>
  </si>
  <si>
    <t>MRT 4S MEC MTTO PUENTE GRUA</t>
  </si>
  <si>
    <t>LIB. NOTI IMOP JBFI KKMP PREC PROG TBTR</t>
  </si>
  <si>
    <t>Preventivo Sistemático</t>
  </si>
  <si>
    <t>010</t>
  </si>
  <si>
    <t>110458134</t>
  </si>
  <si>
    <t>Falla Morris  10 ton,Nave Central</t>
  </si>
  <si>
    <t>LIB. NOTI IMOP JBFI KKMP PREC TBTR</t>
  </si>
  <si>
    <t>NP</t>
  </si>
  <si>
    <t>Correctivo No Planificado</t>
  </si>
  <si>
    <t>035</t>
  </si>
  <si>
    <t>109910597</t>
  </si>
  <si>
    <t>Mant. c/2 años L-15 S/E CHUQUI - S/E A</t>
  </si>
  <si>
    <t>LIB. NOTP FENA IMOP KKMP PREC PROG TRAT</t>
  </si>
  <si>
    <t>110186130</t>
  </si>
  <si>
    <t>MTTO. TAB. INTERRUP. SECCION ELECT 5-6-7</t>
  </si>
  <si>
    <t>LIB. IMOP KKMP PREC PROG TRAT</t>
  </si>
  <si>
    <t>110456613</t>
  </si>
  <si>
    <t>Revisión y Rep 52HT9 S/E 10A</t>
  </si>
  <si>
    <t>110465140</t>
  </si>
  <si>
    <t>Levantamiento Línea 5kV Alim 5014</t>
  </si>
  <si>
    <t>LIB. NOTI DOCU IMOP JBFI KKMP PREC TBTR</t>
  </si>
  <si>
    <t>110466947</t>
  </si>
  <si>
    <t>STN Traslado Generador a Puerta 2</t>
  </si>
  <si>
    <t>ABIE FENA IMOP KKMP PREC ENET</t>
  </si>
  <si>
    <t>110406048</t>
  </si>
  <si>
    <t>Inspección Alimentador Aducción Talabre.</t>
  </si>
  <si>
    <t>Preventivo Predictivo</t>
  </si>
  <si>
    <t>020</t>
  </si>
  <si>
    <t>110436353</t>
  </si>
  <si>
    <t>Mantención Subestación SAG 17</t>
  </si>
  <si>
    <t>110436354</t>
  </si>
  <si>
    <t>Mantención Protecciones y Medidas SAG 17</t>
  </si>
  <si>
    <t>110453648</t>
  </si>
  <si>
    <t>STN Apoyo con camión alza personas</t>
  </si>
  <si>
    <t>03 SIST. C.INCENDIO INFRA DCH</t>
  </si>
  <si>
    <t>110345001</t>
  </si>
  <si>
    <t>INSPECCION SISTEMA SAPCI S/E KM6</t>
  </si>
  <si>
    <t>110345002</t>
  </si>
  <si>
    <t>INSPECCION SISTEMA SAPCI S/E 10</t>
  </si>
  <si>
    <t>110345005</t>
  </si>
  <si>
    <t>INSPECCION SISTEMA SAPCI S/E CHUQUICAMAT</t>
  </si>
  <si>
    <t>110345006</t>
  </si>
  <si>
    <t>INSPECCION SISTEMA SAPCI  S/E SUB-A</t>
  </si>
  <si>
    <t>Pl.Calderería.Cent</t>
  </si>
  <si>
    <t>110373141</t>
  </si>
  <si>
    <t>CAMBIO DE CORAZA POSTE SH N⁰ 10095854</t>
  </si>
  <si>
    <t>LIB. NOTP IMOP KKMP PREC PROG TRAT</t>
  </si>
  <si>
    <t>SERVICIO INTERNO CALDERERIA</t>
  </si>
  <si>
    <t>110387261</t>
  </si>
  <si>
    <t>CAMBIO CORAZA POSTE SH N°10099065</t>
  </si>
  <si>
    <t>110387265</t>
  </si>
  <si>
    <t>CAMBIO CORAZA POSTE SH N°10104410</t>
  </si>
  <si>
    <t>% Planificado (HH)</t>
  </si>
  <si>
    <t>HH Plan. Reales</t>
  </si>
  <si>
    <t>HH Totales Reales</t>
  </si>
  <si>
    <t>Fecha Libera Orden</t>
  </si>
  <si>
    <t>Fecha inicio real</t>
  </si>
  <si>
    <t>Grupo hojas de ruta</t>
  </si>
  <si>
    <t>20.2026</t>
  </si>
  <si>
    <t>MANT &amp; PLANIF ELEC CONC MOLIENDA A2 A3</t>
  </si>
  <si>
    <t>030</t>
  </si>
  <si>
    <t>Emergencia</t>
  </si>
  <si>
    <t>110527601</t>
  </si>
  <si>
    <t>REPARACION CTO ENCHUFES GCON</t>
  </si>
  <si>
    <t>NOTI JBFI LIB. NLIQ PWF  RESA</t>
  </si>
  <si>
    <t>109124261</t>
  </si>
  <si>
    <t>LAVADO DE AISLADORES LINEA 12</t>
  </si>
  <si>
    <t>NOTI CTEC JBFI NLIQ PWF  RESA PLAN</t>
  </si>
  <si>
    <t>97142</t>
  </si>
  <si>
    <t>110443469</t>
  </si>
  <si>
    <t>INSPECCION MT CHANCADO PRIMARIO PTMP</t>
  </si>
  <si>
    <t>10371</t>
  </si>
  <si>
    <t>110330383</t>
  </si>
  <si>
    <t>Insp. 4M S/E Dist. 13.8 kV Refinería</t>
  </si>
  <si>
    <t>35977</t>
  </si>
  <si>
    <t>110459257</t>
  </si>
  <si>
    <t>Insp. 4M S/E Dist. 13.8 kV Fundición</t>
  </si>
  <si>
    <t>NOTI CTEC JBFI NLIQ PWF PLAN</t>
  </si>
  <si>
    <t>110377744</t>
  </si>
  <si>
    <t>Revis. y repar. Comp aire 52HT18 S/E A</t>
  </si>
  <si>
    <t>26780</t>
  </si>
  <si>
    <t>110474160</t>
  </si>
  <si>
    <t>EJE. CAMBIO RASA CELDA K13 S/E 10A</t>
  </si>
  <si>
    <t>56673</t>
  </si>
  <si>
    <t>110496644</t>
  </si>
  <si>
    <t>STN MTTO SIST RESPALDO S/E PRINCIPAL CAL</t>
  </si>
  <si>
    <t>98949</t>
  </si>
  <si>
    <t>110518476</t>
  </si>
  <si>
    <t>Med. Desc. parciales Enlace T7-123 SE 10</t>
  </si>
  <si>
    <t>NOTI CTEC JBFI NLIQ PWF  RESA</t>
  </si>
  <si>
    <t>110439645</t>
  </si>
  <si>
    <t>Inspección 2M S/E Sopladores</t>
  </si>
  <si>
    <t>56856</t>
  </si>
  <si>
    <t>110439646</t>
  </si>
  <si>
    <t>Inspección 2M S/E K-1</t>
  </si>
  <si>
    <t>110439647</t>
  </si>
  <si>
    <t>Termografía 2M S/E Sopladores</t>
  </si>
  <si>
    <t>25012</t>
  </si>
  <si>
    <t>110439648</t>
  </si>
  <si>
    <t>Termografía 2M S/E K-1</t>
  </si>
  <si>
    <t>110427496</t>
  </si>
  <si>
    <t>MED.DESCARGAS PARCIALES S/E TCHITACk TR2</t>
  </si>
  <si>
    <t>18845</t>
  </si>
  <si>
    <t>110443695</t>
  </si>
  <si>
    <t>MEDICIÓN DESCARGAS PARCIALES ATR2</t>
  </si>
  <si>
    <t>110473175</t>
  </si>
  <si>
    <t>TOMA MUESTRA ACEITE S/E CHUQUICAMAT ATR1</t>
  </si>
  <si>
    <t>98013</t>
  </si>
  <si>
    <t>110486153</t>
  </si>
  <si>
    <t>TOMA MUESTRA ACEITE S/E TCHITACK TR2</t>
  </si>
  <si>
    <t>110494994</t>
  </si>
  <si>
    <t>TOMA MUESTRA ACEITE S/E TCHITACK TR1</t>
  </si>
  <si>
    <t>110304324</t>
  </si>
  <si>
    <t>Toma Mstra Aceite EquCrít 2°Sem T7A SE10</t>
  </si>
  <si>
    <t>75545</t>
  </si>
  <si>
    <t>110526034</t>
  </si>
  <si>
    <t>RELLENO SF6 L12 GIS 100 KV SE CHUQUI</t>
  </si>
  <si>
    <t>110288268</t>
  </si>
  <si>
    <t>MRT 12S MEC MTTO CALDERA N°2</t>
  </si>
  <si>
    <t>99105</t>
  </si>
  <si>
    <t>110406270</t>
  </si>
  <si>
    <t>MRT 4S MEC TOMA MUESTRA ACEITE S20</t>
  </si>
  <si>
    <t>92589</t>
  </si>
  <si>
    <t>110406276</t>
  </si>
  <si>
    <t>MRT 4S LIMPIEZA CANALA EXTERIOR</t>
  </si>
  <si>
    <t>98139</t>
  </si>
  <si>
    <t>110427749</t>
  </si>
  <si>
    <t>MRT 4S ELEC MTTO UPS N°3</t>
  </si>
  <si>
    <t>98494</t>
  </si>
  <si>
    <t>110427755</t>
  </si>
  <si>
    <t>MRT 4S MTTO MEC BOMBA 2B</t>
  </si>
  <si>
    <t>98030</t>
  </si>
  <si>
    <t>110432882</t>
  </si>
  <si>
    <t>MRT 1S MEC LIMPIEZA MOLINO HARDINGE 1</t>
  </si>
  <si>
    <t>49861</t>
  </si>
  <si>
    <t>110432883</t>
  </si>
  <si>
    <t>MRT 1S MEC LIMPIEZA MOLINO HARDINGE 2</t>
  </si>
  <si>
    <t>110432884</t>
  </si>
  <si>
    <t>MRT 1S MEC LIMPIEZA MOLINO TORRE</t>
  </si>
  <si>
    <t>110432887</t>
  </si>
  <si>
    <t>MRT 1S MEC LIMPIEZA AEROVENTILADORES</t>
  </si>
  <si>
    <t>92335</t>
  </si>
  <si>
    <t>110432892</t>
  </si>
  <si>
    <t>MRT 1S MTTO CORREA 132</t>
  </si>
  <si>
    <t>98137</t>
  </si>
  <si>
    <t>110432893</t>
  </si>
  <si>
    <t>MRT 1S MTTO CORREA 129</t>
  </si>
  <si>
    <t>110432896</t>
  </si>
  <si>
    <t>MRT 1S LIMPIEZA FILTRO DE MANGA</t>
  </si>
  <si>
    <t>98306</t>
  </si>
  <si>
    <t>110447996</t>
  </si>
  <si>
    <t>MRT 3S MEC MTTO ANÁLISIS VIBRACIONES PHC</t>
  </si>
  <si>
    <t>NOTI JBFI LIB. NLIQ PLAN PWF  RESA</t>
  </si>
  <si>
    <t>97235</t>
  </si>
  <si>
    <t>110447997</t>
  </si>
  <si>
    <t>MRT 4S MTTO MEC CORREA 04</t>
  </si>
  <si>
    <t>98028</t>
  </si>
  <si>
    <t>110447998</t>
  </si>
  <si>
    <t>MRT 4S MTTO MEC CORREA 129A</t>
  </si>
  <si>
    <t>110447999</t>
  </si>
  <si>
    <t>MRT 4S MTTO MEC CAJON BOMBAS MT</t>
  </si>
  <si>
    <t>98029</t>
  </si>
  <si>
    <t>110468682</t>
  </si>
  <si>
    <t>MRT 4S MEC INSP SOPLADOR N°6</t>
  </si>
  <si>
    <t>96563</t>
  </si>
  <si>
    <t>110468794</t>
  </si>
  <si>
    <t>MRT 2S LIMPIEZA FLEXIBILIDAD OPERATIVA</t>
  </si>
  <si>
    <t>98140</t>
  </si>
  <si>
    <t>110478068</t>
  </si>
  <si>
    <t>MRT 6M MTTO COMPRESOR N°20</t>
  </si>
  <si>
    <t>NOTI JBFI LIB. NLIQ PLAN PWF</t>
  </si>
  <si>
    <t>35354</t>
  </si>
  <si>
    <t>110500509</t>
  </si>
  <si>
    <t>MRT 6M MTTO COMPRESOR N°29</t>
  </si>
  <si>
    <t>109037716</t>
  </si>
  <si>
    <t>Cambio de calefactor de aceite Comp N°2</t>
  </si>
  <si>
    <t>40779</t>
  </si>
  <si>
    <t>109098394</t>
  </si>
  <si>
    <t>Cambio filtros de admisión C-1</t>
  </si>
  <si>
    <t>109098395</t>
  </si>
  <si>
    <t>Cambio filtros de admisión C-2</t>
  </si>
  <si>
    <t>109171579</t>
  </si>
  <si>
    <t>Cambio de bba enfriadera C-1 CTS</t>
  </si>
  <si>
    <t>109229554</t>
  </si>
  <si>
    <t>Normalización de líneas agua/aire/aceite</t>
  </si>
  <si>
    <t>109466750</t>
  </si>
  <si>
    <t>Cambio vvla venteo/filtros C-1</t>
  </si>
  <si>
    <t>109526314</t>
  </si>
  <si>
    <t>Normalización líneas AG/VA/AI C-90 psi.}</t>
  </si>
  <si>
    <t>109527858</t>
  </si>
  <si>
    <t>Normalización línea hidrociclón C-24.</t>
  </si>
  <si>
    <t>109671213</t>
  </si>
  <si>
    <t>Mejorar sistema filtros de admisión CTR</t>
  </si>
  <si>
    <t>109726769</t>
  </si>
  <si>
    <t>Reemplazo panel de control compresor 20</t>
  </si>
  <si>
    <t>110085717</t>
  </si>
  <si>
    <t>Cambio bomba N°1 Compresor 29 DESGASTE</t>
  </si>
  <si>
    <t>110457406</t>
  </si>
  <si>
    <t>(Q) TRAB PREVIOS MTTO 6M COMP 20</t>
  </si>
  <si>
    <t>110475343</t>
  </si>
  <si>
    <t>INST BIOMETRICO ACCESO SALA CTR</t>
  </si>
  <si>
    <t>110475347</t>
  </si>
  <si>
    <t>(Q) TRAB PREVIOS MTTO 6M COMP 29</t>
  </si>
  <si>
    <t>110475348</t>
  </si>
  <si>
    <t>3M MTTO BOMBA CIRCULADORA N°2</t>
  </si>
  <si>
    <t>110475349</t>
  </si>
  <si>
    <t>INST BIOMETRICO ACCESO SALA 09</t>
  </si>
  <si>
    <t>110475352</t>
  </si>
  <si>
    <t>INSPECCION SALA ELECTRICA</t>
  </si>
  <si>
    <t>110475355</t>
  </si>
  <si>
    <t>COMP 20 -CAMBIO DE ENFRIADERA.</t>
  </si>
  <si>
    <t>110475425</t>
  </si>
  <si>
    <t>48M MTTO COMPRESOR 08</t>
  </si>
  <si>
    <t>110481437</t>
  </si>
  <si>
    <t>(Q) Limpieza de Linea 10 de CAL</t>
  </si>
  <si>
    <t>110264828</t>
  </si>
  <si>
    <t>Reparar ducto alim. al MH-2</t>
  </si>
  <si>
    <t>110324133</t>
  </si>
  <si>
    <t>INST BIOMETRICO sala 7</t>
  </si>
  <si>
    <t>110493464</t>
  </si>
  <si>
    <t>COMP 29 -CAMBIO DE ENFRIADERA</t>
  </si>
  <si>
    <t>110505267</t>
  </si>
  <si>
    <t>Visor sucio de descanso</t>
  </si>
  <si>
    <t>NOTI CTEC JBFI NLIQ PWF</t>
  </si>
  <si>
    <t>110505271</t>
  </si>
  <si>
    <t>Rellenar nivel de aceite carter</t>
  </si>
  <si>
    <t>110511155</t>
  </si>
  <si>
    <t>Reparación Línea Acelerador Silo N°2</t>
  </si>
  <si>
    <t>110513921</t>
  </si>
  <si>
    <t>Puerta lado sur Correa Aux. No cierra</t>
  </si>
  <si>
    <t>110513930</t>
  </si>
  <si>
    <t>Destapar línea 3" BBA Aurora a C.Prod.MT</t>
  </si>
  <si>
    <t>110515568</t>
  </si>
  <si>
    <t>Posición de válvula ON/OFF</t>
  </si>
  <si>
    <t>110516455</t>
  </si>
  <si>
    <t>chequeo alinemiento pots PES</t>
  </si>
  <si>
    <t>110518096</t>
  </si>
  <si>
    <t>Ducto entrada filtros mangas pernos suel</t>
  </si>
  <si>
    <t>110518097</t>
  </si>
  <si>
    <t>Cambio válvula 1" cajón trómel MH2</t>
  </si>
  <si>
    <t>110518615</t>
  </si>
  <si>
    <t>REVISIÓN SOPLADOR 8 TRIP AL CAMBIO</t>
  </si>
  <si>
    <t>110519436</t>
  </si>
  <si>
    <t>Revisión Ajuste de sello Bomba 010</t>
  </si>
  <si>
    <t>110524952</t>
  </si>
  <si>
    <t>Limpieza cajón Bomba Aurora Molino Torre</t>
  </si>
  <si>
    <t>110525045</t>
  </si>
  <si>
    <t>Reparaciones roturas líneas acel. Silo 2</t>
  </si>
  <si>
    <t>110529391</t>
  </si>
  <si>
    <t>Revisar panel de control  (apagadoa9</t>
  </si>
  <si>
    <t>110530667</t>
  </si>
  <si>
    <t>Cambio sello bba ciclón 1 M.Torre</t>
  </si>
  <si>
    <t>NOTI JBFI LIB. NLIQ PWF</t>
  </si>
  <si>
    <t>110530732</t>
  </si>
  <si>
    <t>Cambio de motor bomba 3B PHC</t>
  </si>
  <si>
    <t>110436792</t>
  </si>
  <si>
    <t>MRT 16S MEC MTTO PUENTE GRUA SALA COMP</t>
  </si>
  <si>
    <t>98123</t>
  </si>
  <si>
    <t>110473462</t>
  </si>
  <si>
    <t>INSPECCI SAPCI S/E SOPLADORES GIS 13,8KV</t>
  </si>
  <si>
    <t>98157</t>
  </si>
  <si>
    <t>110473475</t>
  </si>
  <si>
    <t>INSPECCION SAPCI S/E TCHITACK SALA GIS</t>
  </si>
  <si>
    <t>110439860</t>
  </si>
  <si>
    <t>110439861</t>
  </si>
  <si>
    <t>110439864</t>
  </si>
  <si>
    <t>110439865</t>
  </si>
  <si>
    <t>110473454</t>
  </si>
  <si>
    <t>INSPECCIÓN SAPCI S/E K1 TRAFO 1-2</t>
  </si>
  <si>
    <t>110473455</t>
  </si>
  <si>
    <t>INSPECCION SAPCI S/E K1 TRAFO 3</t>
  </si>
  <si>
    <t>110473457</t>
  </si>
  <si>
    <t>INSPECCION SAPCI S/E SOPLADORES TRAFO 1</t>
  </si>
  <si>
    <t>110473466</t>
  </si>
  <si>
    <t>INSPECCION SAPCI S/E TCHITACK SALA SCADA</t>
  </si>
  <si>
    <t>110473479</t>
  </si>
  <si>
    <t>INSPECCION SAPCI S/E TCHITACK GIS 220KV</t>
  </si>
  <si>
    <t>110473484</t>
  </si>
  <si>
    <t>INSPECCION SAPCI S/E TCHITACK GIS 34,5KV</t>
  </si>
  <si>
    <t>05 RESPAL. E.ELEC. INFRA DCH</t>
  </si>
  <si>
    <t>110277899</t>
  </si>
  <si>
    <t>MRT 4S INST INSP CARGA BATERIAS G3</t>
  </si>
  <si>
    <t>96762</t>
  </si>
  <si>
    <t>110277900</t>
  </si>
  <si>
    <t>MRT 4S INST INSP CARGA BATERIAS G4</t>
  </si>
  <si>
    <t>110427659</t>
  </si>
  <si>
    <t>MRT 4S INST INSP CARGA BATERIAS G1</t>
  </si>
  <si>
    <t>110427660</t>
  </si>
  <si>
    <t>MRT 4S INST INSP CARGA BATERIAS G2</t>
  </si>
  <si>
    <t>110251289</t>
  </si>
  <si>
    <t>BANCO BATERIAS N°1  SALA S/E K1</t>
  </si>
  <si>
    <t>110251290</t>
  </si>
  <si>
    <t>BANCO BATERIAS N°2  SALA S/E K1</t>
  </si>
  <si>
    <t>110251291</t>
  </si>
  <si>
    <t>CARGADOR BATERIAS N°1 SALA S/E K1</t>
  </si>
  <si>
    <t>110251292</t>
  </si>
  <si>
    <t>CARGADOR BATERIAS N°2 SALA S/E K1</t>
  </si>
  <si>
    <t>Cumplimiento Prog. Semanal (Op)</t>
  </si>
  <si>
    <t>Indicador cumple sem</t>
  </si>
  <si>
    <t>Total Op. Programadas</t>
  </si>
  <si>
    <t>S Agr Fec Ini + Temp</t>
  </si>
  <si>
    <t>110462292</t>
  </si>
  <si>
    <t>Insp. 4M S/E Dist. 13.8 kV Mina</t>
  </si>
  <si>
    <t>LIB. NLIQ PLAN</t>
  </si>
  <si>
    <t>110138614</t>
  </si>
  <si>
    <t>Mantención Protecc. S/E Planta de CAL</t>
  </si>
  <si>
    <t>CTEC NLIQ PLAN</t>
  </si>
  <si>
    <t>110287184</t>
  </si>
  <si>
    <t>STN HAB. ALARMAS CARG. 125VDC S/E CHUQUI</t>
  </si>
  <si>
    <t>110304322</t>
  </si>
  <si>
    <t>Toma Mstra Aceite Equ Crít.2° Sem. SAG16</t>
  </si>
  <si>
    <t>110304325</t>
  </si>
  <si>
    <t>Toma Mstra Aceit EquCrít 2°Sem T13 SE10A</t>
  </si>
  <si>
    <t>110416702</t>
  </si>
  <si>
    <t>AP. Y CERT. PRB TRANSFORMADOR SOPLADOR 8</t>
  </si>
  <si>
    <t>109151319</t>
  </si>
  <si>
    <t>Mant. Distrib. 13,8 Kv  Trafo 2B  S/E 10</t>
  </si>
  <si>
    <t>109526486</t>
  </si>
  <si>
    <t>Normalización línea agua enfriadera C-28</t>
  </si>
  <si>
    <t>NOTP LIB. NLIQ PLAN</t>
  </si>
  <si>
    <t>110055375</t>
  </si>
  <si>
    <t>R-Habilitacion Monorriel PisoAftercooler</t>
  </si>
  <si>
    <t>110438558</t>
  </si>
  <si>
    <t>MTTO MR KITO 1 TON LADO OESTE, NAVE COMP</t>
  </si>
  <si>
    <t>110362744</t>
  </si>
  <si>
    <t>(Q) MRT 4S MEC MTTO PTE GRUA SOPLADORES</t>
  </si>
  <si>
    <t>110462343</t>
  </si>
  <si>
    <t>MRT 12S MEC MTTO PUENTE GRUA NAVE COMP</t>
  </si>
  <si>
    <t>% Cumpl. Plan Matriz</t>
  </si>
  <si>
    <t>Plan Matriz</t>
  </si>
  <si>
    <t>Coeficiente PMA</t>
  </si>
  <si>
    <t>Cantidad de Operaciones Ejecutadas</t>
  </si>
  <si>
    <t>Cantidad de Operaciones totales</t>
  </si>
  <si>
    <t>110415552</t>
  </si>
  <si>
    <t>Mantención Paño Trafo Nº13 S/E A</t>
  </si>
  <si>
    <t>CTEC NOTI DOCU IMOP JBFI KKMP PREC PROG</t>
  </si>
  <si>
    <t>110444787</t>
  </si>
  <si>
    <t>Insp. Mensual S/E Tchitack</t>
  </si>
  <si>
    <t>110422716</t>
  </si>
  <si>
    <t>MEDICIÓN DESCARGAS PARCIALES ATR1</t>
  </si>
  <si>
    <t>LIB. NOTP DOCU IMOP KKMP PREC PROG TRAT</t>
  </si>
  <si>
    <t>110443779</t>
  </si>
  <si>
    <t>110443778</t>
  </si>
  <si>
    <t>110443777</t>
  </si>
  <si>
    <t>CTEC NOTI IMOP JBFI KKMP PREC PROG TBTR</t>
  </si>
  <si>
    <t>Pto. Trabajo</t>
  </si>
  <si>
    <t>C82</t>
  </si>
  <si>
    <t>CGSSERME</t>
  </si>
  <si>
    <t>C81</t>
  </si>
  <si>
    <t>C84</t>
  </si>
  <si>
    <t>C71</t>
  </si>
  <si>
    <t>C72</t>
  </si>
  <si>
    <t>CCOAXRME</t>
  </si>
  <si>
    <t>CGSTMRMM</t>
  </si>
  <si>
    <t>Gr. planif</t>
  </si>
  <si>
    <t>Gr. planif.PM</t>
  </si>
  <si>
    <t>Criterio</t>
  </si>
  <si>
    <t>Columna3</t>
  </si>
  <si>
    <t>Txt. Breve</t>
  </si>
  <si>
    <t>Gr.Planif</t>
  </si>
  <si>
    <t>Gr. Planif</t>
  </si>
  <si>
    <t>Actividad PM</t>
  </si>
  <si>
    <t xml:space="preserve"> </t>
  </si>
  <si>
    <t>Psto. Trabaj</t>
  </si>
  <si>
    <t>Horizonte</t>
  </si>
  <si>
    <t>Sin HR</t>
  </si>
  <si>
    <t>Imprevistos</t>
  </si>
  <si>
    <t>Planificado</t>
  </si>
  <si>
    <t>Gr.planif</t>
  </si>
  <si>
    <t>Psto. Trabajo</t>
  </si>
  <si>
    <t>Grupo planificación</t>
  </si>
  <si>
    <t>Orden</t>
  </si>
  <si>
    <t>Texto breve</t>
  </si>
  <si>
    <t>Pto.tbjo.responsable</t>
  </si>
  <si>
    <t>Ubicación técnica</t>
  </si>
  <si>
    <t>Denom.ubic.técnica</t>
  </si>
  <si>
    <t>Status de sistema</t>
  </si>
  <si>
    <t>Status de usuario</t>
  </si>
  <si>
    <t>Fecha inicio extrema</t>
  </si>
  <si>
    <t>Fecha fin extrema</t>
  </si>
  <si>
    <t>Autor</t>
  </si>
  <si>
    <t>Modificado por</t>
  </si>
  <si>
    <t>Fecha liber.real</t>
  </si>
  <si>
    <t>Fecha de creación</t>
  </si>
  <si>
    <t>Inicio programado</t>
  </si>
  <si>
    <t>Fecha fin real</t>
  </si>
  <si>
    <t>Plan mant.preventivo</t>
  </si>
  <si>
    <t>Posición mantenim.</t>
  </si>
  <si>
    <t>Costes tot.reales</t>
  </si>
  <si>
    <t>Tota general (plan)</t>
  </si>
  <si>
    <t>29844068</t>
  </si>
  <si>
    <t>CHSS-SU-CTS-SAL-SLT07</t>
  </si>
  <si>
    <t>SALA ELECTRICA Nº7 CALDERAS COMPACTAS</t>
  </si>
  <si>
    <t>CTEC NOTI DOCU IMOP JBFI KKMP PREC</t>
  </si>
  <si>
    <t>TRAT</t>
  </si>
  <si>
    <t>MJAIM002</t>
  </si>
  <si>
    <t>CMEND008</t>
  </si>
  <si>
    <t/>
  </si>
  <si>
    <t>30030375</t>
  </si>
  <si>
    <t>CHSS-SU-CTS-A90-COS10-SMO-MOTR</t>
  </si>
  <si>
    <t>MOTOR ELÉCTRICO</t>
  </si>
  <si>
    <t>TBTR</t>
  </si>
  <si>
    <t>VTORR010</t>
  </si>
  <si>
    <t>29978722</t>
  </si>
  <si>
    <t>CHSS-SU-CTS-A30-CAP20</t>
  </si>
  <si>
    <t>COMPRESOR CENTRIFUGO 20</t>
  </si>
  <si>
    <t>LIB. NOTP DOCU IMOP KKMP PREC PROG</t>
  </si>
  <si>
    <t>VVERG011</t>
  </si>
  <si>
    <t>30017733</t>
  </si>
  <si>
    <t>CHSS-SU-CTS-A30-CAP29-SEN-ENFA</t>
  </si>
  <si>
    <t>ENFRIADERA DE AGUA</t>
  </si>
  <si>
    <t>LIB. NOTI DOCU IMOP JBFI KKMP PREC</t>
  </si>
  <si>
    <t>28514273</t>
  </si>
  <si>
    <t>CHSS-SU-CTS-A90-COS02-SLU-CALF</t>
  </si>
  <si>
    <t>CALEFACTOR DE ACEITE</t>
  </si>
  <si>
    <t>LIB. NOTI DOCU IMOP JBFI MACO MOVM PREC*</t>
  </si>
  <si>
    <t>TRAMI002</t>
  </si>
  <si>
    <t>28578506</t>
  </si>
  <si>
    <t>CHSS-SU-CTS-A90-COS01</t>
  </si>
  <si>
    <t>COMPRESOR CENTRIFUGO ELLIOTT 01</t>
  </si>
  <si>
    <t>29850364</t>
  </si>
  <si>
    <t>CDEE-SED</t>
  </si>
  <si>
    <t>SUBESTACIONES DE DISTRIBUCION</t>
  </si>
  <si>
    <t>IP1020260312</t>
  </si>
  <si>
    <t>JGALA017</t>
  </si>
  <si>
    <t>165531</t>
  </si>
  <si>
    <t>299345</t>
  </si>
  <si>
    <t>29956150</t>
  </si>
  <si>
    <t>CHSS-SU-PHC-MMH-MLH01</t>
  </si>
  <si>
    <t>MOLINO HARDINGE Nº1</t>
  </si>
  <si>
    <t>IP1020260414</t>
  </si>
  <si>
    <t>139516</t>
  </si>
  <si>
    <t>251835</t>
  </si>
  <si>
    <t>29956160</t>
  </si>
  <si>
    <t>CHSS-SU-PHC-TCH-CT132</t>
  </si>
  <si>
    <t>CORREA TRANSPORTADORA Nº132</t>
  </si>
  <si>
    <t>225688</t>
  </si>
  <si>
    <t>419098</t>
  </si>
  <si>
    <t>29956164</t>
  </si>
  <si>
    <t>CHSS-SU-PHC-SAL-SIL01</t>
  </si>
  <si>
    <t>SILO 01</t>
  </si>
  <si>
    <t>225920</t>
  </si>
  <si>
    <t>419420</t>
  </si>
  <si>
    <t>29963521</t>
  </si>
  <si>
    <t>CHSS-SE-SUP-SK6-SAPCI</t>
  </si>
  <si>
    <t>SISTEMA SAPCI S/E KM6</t>
  </si>
  <si>
    <t>IP1020260416</t>
  </si>
  <si>
    <t>CURQU002</t>
  </si>
  <si>
    <t>226513</t>
  </si>
  <si>
    <t>419560</t>
  </si>
  <si>
    <t>29963522</t>
  </si>
  <si>
    <t>CHSS-SE-SUP-SPA-SBE10-SAP</t>
  </si>
  <si>
    <t>SISTEMA SAPCI S/E 10</t>
  </si>
  <si>
    <t>226514</t>
  </si>
  <si>
    <t>419561</t>
  </si>
  <si>
    <t>29999833</t>
  </si>
  <si>
    <t>CHSS-SU-CTS-ENF-BCPV2</t>
  </si>
  <si>
    <t>BOMBA CIRCULADORA 2 VAPOR SOBRANTE</t>
  </si>
  <si>
    <t>29999836</t>
  </si>
  <si>
    <t>LVEGA028</t>
  </si>
  <si>
    <t>30000012</t>
  </si>
  <si>
    <t>CHSS-SU-CTS-A90-COS08</t>
  </si>
  <si>
    <t>COMPRESOR CENTRIFUGO ELLIOTT 08</t>
  </si>
  <si>
    <t>30003321</t>
  </si>
  <si>
    <t>CHSS-SU-CTS-A90-CAP20</t>
  </si>
  <si>
    <t>IP1020260429</t>
  </si>
  <si>
    <t>MREINES</t>
  </si>
  <si>
    <t>222731</t>
  </si>
  <si>
    <t>412728</t>
  </si>
  <si>
    <t>30006694</t>
  </si>
  <si>
    <t>CHSS-SU-PHC-TLC-SPIVV</t>
  </si>
  <si>
    <t>SISTEMA PIPING Y VALVULAS</t>
  </si>
  <si>
    <t>30029647</t>
  </si>
  <si>
    <t>CHSS-SU-CTS-A90-COS24-SLU-CART</t>
  </si>
  <si>
    <t>CARTER DE ACEITE</t>
  </si>
  <si>
    <t>30038014</t>
  </si>
  <si>
    <t>CHSS-SU-PHC-SAL-SIL02-STR</t>
  </si>
  <si>
    <t>SISTEMA DE TRANSPORTE AIRE ACELERADORES</t>
  </si>
  <si>
    <t>30040812</t>
  </si>
  <si>
    <t>CHSS-SU-PHC-MMV-BBAPA</t>
  </si>
  <si>
    <t>BOMBA POZO AURORA 20</t>
  </si>
  <si>
    <t>30038033</t>
  </si>
  <si>
    <t>CHSS-SU-CTS-PVS-PVS01</t>
  </si>
  <si>
    <t>PLANTA VAPOR SOBRANTE Nº 1</t>
  </si>
  <si>
    <t>JGALL059</t>
  </si>
  <si>
    <t>28578642</t>
  </si>
  <si>
    <t>CHSS-SU-CTS-A90-COS02</t>
  </si>
  <si>
    <t>COMPRESOR CENTRIFUGO ELLIOTT 02</t>
  </si>
  <si>
    <t>28653763</t>
  </si>
  <si>
    <t>29226605</t>
  </si>
  <si>
    <t>CHSS-SU-CTS-A30-CAP20-INS</t>
  </si>
  <si>
    <t>SISTEMA DE CONTROL Y AUTOMATIZACION</t>
  </si>
  <si>
    <t>29956151</t>
  </si>
  <si>
    <t>CHSS-SU-PHC-MMH-MLH02</t>
  </si>
  <si>
    <t>MOLINO HARDINGE Nº2</t>
  </si>
  <si>
    <t>139517</t>
  </si>
  <si>
    <t>251836</t>
  </si>
  <si>
    <t>29956161</t>
  </si>
  <si>
    <t>CHSS-SU-PHC-TCH-CT129</t>
  </si>
  <si>
    <t>CORREA TRANSPORTADORA Nº129</t>
  </si>
  <si>
    <t>419099</t>
  </si>
  <si>
    <t>29963525</t>
  </si>
  <si>
    <t>CHSS-SE-SUP-SPA-SUBCH-SAP</t>
  </si>
  <si>
    <t>SISTEMA SAPCI S/E CHUQUICAMATA</t>
  </si>
  <si>
    <t>226517</t>
  </si>
  <si>
    <t>419564</t>
  </si>
  <si>
    <t>29963526</t>
  </si>
  <si>
    <t>CHSS-SE-SUP-SPA-SUBEA-SAP</t>
  </si>
  <si>
    <t>SISTEMA SAPCI S/E SUB-A</t>
  </si>
  <si>
    <t>226518</t>
  </si>
  <si>
    <t>419825</t>
  </si>
  <si>
    <t>29971630</t>
  </si>
  <si>
    <t>CHSS-SU-PHC-INS</t>
  </si>
  <si>
    <t>INSTALACIONES INDUSTRIALES PLANTA CAL</t>
  </si>
  <si>
    <t>IP1020260420</t>
  </si>
  <si>
    <t>225365</t>
  </si>
  <si>
    <t>418362</t>
  </si>
  <si>
    <t>29971633</t>
  </si>
  <si>
    <t>CHSS-SU-PHC-MMV-CJMLN</t>
  </si>
  <si>
    <t>CAJON CICLON MOLINO TORRE</t>
  </si>
  <si>
    <t>225400</t>
  </si>
  <si>
    <t>418490</t>
  </si>
  <si>
    <t>29983459</t>
  </si>
  <si>
    <t>IP1020260423</t>
  </si>
  <si>
    <t>165529</t>
  </si>
  <si>
    <t>299283</t>
  </si>
  <si>
    <t>29993326</t>
  </si>
  <si>
    <t>CHSS-SU-CTS-A20-SOP06</t>
  </si>
  <si>
    <t>SOPLADOR INGERSOL RAND Nº 6</t>
  </si>
  <si>
    <t>IP1020260427</t>
  </si>
  <si>
    <t>223637</t>
  </si>
  <si>
    <t>414908</t>
  </si>
  <si>
    <t>30037701</t>
  </si>
  <si>
    <t>CHSS-SU-PHC-TCH-CAUMH</t>
  </si>
  <si>
    <t>CORREA AUXILIAR MOLINOS HARDINGE</t>
  </si>
  <si>
    <t>30035711</t>
  </si>
  <si>
    <t>CHSS-SU-CTS-ENF-BCPV1</t>
  </si>
  <si>
    <t>BOMBA CIRCULADORA 1 VAPOR SOBRANTE</t>
  </si>
  <si>
    <t>MCHAV005</t>
  </si>
  <si>
    <t>30042812</t>
  </si>
  <si>
    <t>CHSS-SU-PHC-SAL-SIL02-FIL</t>
  </si>
  <si>
    <t>FILTRO DE MANGA</t>
  </si>
  <si>
    <t>30042780</t>
  </si>
  <si>
    <t>30045218</t>
  </si>
  <si>
    <t>CDEE-SEP-S10-PAT</t>
  </si>
  <si>
    <t>PATIO  SUBESTACION 10</t>
  </si>
  <si>
    <t>CTEC NOTI DOCU FCAP IMOP JBFI KKMP PREC</t>
  </si>
  <si>
    <t>ICUEV002</t>
  </si>
  <si>
    <t>28605719</t>
  </si>
  <si>
    <t>CDEE-LIN-L12-100</t>
  </si>
  <si>
    <t>LINEA Nº12</t>
  </si>
  <si>
    <t>JCARR068</t>
  </si>
  <si>
    <t>21398</t>
  </si>
  <si>
    <t>38839</t>
  </si>
  <si>
    <t>28714656</t>
  </si>
  <si>
    <t>CHSS-SU-CTS-A90-COS13</t>
  </si>
  <si>
    <t>COMPRESOR CENTRIFUGO ELLIOTT 13</t>
  </si>
  <si>
    <t>28959584</t>
  </si>
  <si>
    <t>29768502</t>
  </si>
  <si>
    <t>CHSS-SE-SUP-SPA-SUBK1-BAT-K11</t>
  </si>
  <si>
    <t>BANCO BATERIAS SALA N°1 S/E K1</t>
  </si>
  <si>
    <t>IP1020260212</t>
  </si>
  <si>
    <t>DVALD025</t>
  </si>
  <si>
    <t>228618</t>
  </si>
  <si>
    <t>407535</t>
  </si>
  <si>
    <t>29768503</t>
  </si>
  <si>
    <t>CHSS-SE-SUP-SPA-SUBK1-BAT-K12</t>
  </si>
  <si>
    <t>BANCO BATERIAS SALA N°2 S/E K1</t>
  </si>
  <si>
    <t>407536</t>
  </si>
  <si>
    <t>29768504</t>
  </si>
  <si>
    <t>CHSS-SE-SUP-SPA-SUBK1-BAT-C11</t>
  </si>
  <si>
    <t>407614</t>
  </si>
  <si>
    <t>29806665</t>
  </si>
  <si>
    <t>CHSS-SU-CTR-GDV-CAL02</t>
  </si>
  <si>
    <t>CALDERA DISTRAL Nº2</t>
  </si>
  <si>
    <t>IP1020260225</t>
  </si>
  <si>
    <t>225697</t>
  </si>
  <si>
    <t>419108</t>
  </si>
  <si>
    <t>29956152</t>
  </si>
  <si>
    <t>CHSS-SU-PHC-MMV-MLNTR</t>
  </si>
  <si>
    <t>MOLINO  TORRE</t>
  </si>
  <si>
    <t>139518</t>
  </si>
  <si>
    <t>251837</t>
  </si>
  <si>
    <t>29960313</t>
  </si>
  <si>
    <t>CHSS-SU-CTR-AUX-GPTCO</t>
  </si>
  <si>
    <t>PUENTE GRÚA 5 TONS SALA COMPRESORES</t>
  </si>
  <si>
    <t>LIB. NOTI IMOP JBFI KKMP PREC PROG</t>
  </si>
  <si>
    <t>IP1020260415</t>
  </si>
  <si>
    <t>225703</t>
  </si>
  <si>
    <t>419114</t>
  </si>
  <si>
    <t>29971631</t>
  </si>
  <si>
    <t>CHSS-SU-PHC-TCH-CTR04</t>
  </si>
  <si>
    <t>CORREA TRANSPORTADORA Nº04</t>
  </si>
  <si>
    <t>225398</t>
  </si>
  <si>
    <t>418488</t>
  </si>
  <si>
    <t>29971632</t>
  </si>
  <si>
    <t>CHSS-SU-PHC-TCH-C129A</t>
  </si>
  <si>
    <t>CORREA TRANSPORTADORA Nº129 A</t>
  </si>
  <si>
    <t>225399</t>
  </si>
  <si>
    <t>418489</t>
  </si>
  <si>
    <t>29993418</t>
  </si>
  <si>
    <t>CHSS-SU-PHC-TLC</t>
  </si>
  <si>
    <t>TRANSPORTE DE LECHADA DE CAL</t>
  </si>
  <si>
    <t>225831</t>
  </si>
  <si>
    <t>419261</t>
  </si>
  <si>
    <t>29999742</t>
  </si>
  <si>
    <t>CHSS-SU-CTS-SAL-SLT09</t>
  </si>
  <si>
    <t>SALA ELECTRICA Nº9 PLANTA OSMOSIS</t>
  </si>
  <si>
    <t>30043080</t>
  </si>
  <si>
    <t>CHSS-SU-CTS-A20-SOP08</t>
  </si>
  <si>
    <t>SOPLADOR INGERSOL RAND Nº 8</t>
  </si>
  <si>
    <t>JMAMA008</t>
  </si>
  <si>
    <t>30045930</t>
  </si>
  <si>
    <t>CHSS-SU-PHC-TLC-BBA10</t>
  </si>
  <si>
    <t>BOMBA 010 ATP</t>
  </si>
  <si>
    <t>29020872</t>
  </si>
  <si>
    <t>CHSS-SU-CTS-A90</t>
  </si>
  <si>
    <t>GENERACION DE AIRE 90 PSIG</t>
  </si>
  <si>
    <t>29768505</t>
  </si>
  <si>
    <t>CHSS-SE-SUP-SPA-SUBK1-BAT-C12</t>
  </si>
  <si>
    <t>407615</t>
  </si>
  <si>
    <t>29796128</t>
  </si>
  <si>
    <t>CHSS-SU-CTS-GMD-GND03</t>
  </si>
  <si>
    <t>GRUPO GENERACION DIESEL 3</t>
  </si>
  <si>
    <t>IP1020260223</t>
  </si>
  <si>
    <t>224029</t>
  </si>
  <si>
    <t>415489</t>
  </si>
  <si>
    <t>29796129</t>
  </si>
  <si>
    <t>CHSS-SU-CTS-GMD-GND04</t>
  </si>
  <si>
    <t>GRUPO GENERACION DIESEL 4</t>
  </si>
  <si>
    <t>224030</t>
  </si>
  <si>
    <t>415490</t>
  </si>
  <si>
    <t>29929299</t>
  </si>
  <si>
    <t>CHSS-SU-PHC-MMH-CJCLA</t>
  </si>
  <si>
    <t>CAJON DE CICLON DE CLASIFICACION</t>
  </si>
  <si>
    <t>IP1020260406</t>
  </si>
  <si>
    <t>225830</t>
  </si>
  <si>
    <t>419260</t>
  </si>
  <si>
    <t>29950901</t>
  </si>
  <si>
    <t>CHSS-SU-CTS-GMD-GND01</t>
  </si>
  <si>
    <t>GRUPO GENERACION DIESEL 1</t>
  </si>
  <si>
    <t>IP1020260413</t>
  </si>
  <si>
    <t>224027</t>
  </si>
  <si>
    <t>415487</t>
  </si>
  <si>
    <t>29950902</t>
  </si>
  <si>
    <t>CHSS-SU-CTS-GMD-GND02</t>
  </si>
  <si>
    <t>GRUPO GENERACION DIESEL 2</t>
  </si>
  <si>
    <t>224028</t>
  </si>
  <si>
    <t>415488</t>
  </si>
  <si>
    <t>29950991</t>
  </si>
  <si>
    <t>CHSS-SU-CTS-SAL-UPS03</t>
  </si>
  <si>
    <t>UPS 03 - SALA ELÉCTRICA 4</t>
  </si>
  <si>
    <t>225490</t>
  </si>
  <si>
    <t>418709</t>
  </si>
  <si>
    <t>29950997</t>
  </si>
  <si>
    <t>CHSS-SU-PHC-MMH-BBA2B</t>
  </si>
  <si>
    <t>BOMBA RECIRCULADORA 2B</t>
  </si>
  <si>
    <t>226651</t>
  </si>
  <si>
    <t>420007</t>
  </si>
  <si>
    <t>29998356</t>
  </si>
  <si>
    <t>CHSS-SE-SUP-SPA-SUBK1-SAP-TR12</t>
  </si>
  <si>
    <t>SISTEMA SAPCI S/E K1 TRAFO 1-2</t>
  </si>
  <si>
    <t>IP1020260428</t>
  </si>
  <si>
    <t>226006</t>
  </si>
  <si>
    <t>419379</t>
  </si>
  <si>
    <t>29998357</t>
  </si>
  <si>
    <t>CHSS-SE-SUP-SPA-SUBK1-SAP-TR03</t>
  </si>
  <si>
    <t>SISTEMA SAPCI S/E K1 TRAFO 3</t>
  </si>
  <si>
    <t>226007</t>
  </si>
  <si>
    <t>419382</t>
  </si>
  <si>
    <t>29998359</t>
  </si>
  <si>
    <t>CHSS-SE-SUP-SPA-SUBSO-SAP-TRA1</t>
  </si>
  <si>
    <t>SISTEMA SAPCI S/E SOPLADORES TRAFO 1</t>
  </si>
  <si>
    <t>AANZA001</t>
  </si>
  <si>
    <t>226008</t>
  </si>
  <si>
    <t>419605</t>
  </si>
  <si>
    <t>29998364</t>
  </si>
  <si>
    <t>CHSS-SE-SUP-SPA-SUBSO-SAP-G138</t>
  </si>
  <si>
    <t>SISTEMA SAPCI S/E SOPLADORES GIS 13,8KV</t>
  </si>
  <si>
    <t>226010</t>
  </si>
  <si>
    <t>419611</t>
  </si>
  <si>
    <t>29998368</t>
  </si>
  <si>
    <t>CHSS-SE-SUP-SPA-SUBTC-SAP-SCAD</t>
  </si>
  <si>
    <t>SISTEMA SAPCI S/E TCHITACK SALA CONTROL</t>
  </si>
  <si>
    <t>226011</t>
  </si>
  <si>
    <t>419614</t>
  </si>
  <si>
    <t>29998377</t>
  </si>
  <si>
    <t>CHSS-SE-SUP-SPA-SUBTC-SAP-SGIS</t>
  </si>
  <si>
    <t>226082</t>
  </si>
  <si>
    <t>419617</t>
  </si>
  <si>
    <t>29987753</t>
  </si>
  <si>
    <t>CDEE-SEP-10A-P11-S13-S05</t>
  </si>
  <si>
    <t>CUBICULO DESCONECTADOR BARRA 2</t>
  </si>
  <si>
    <t>ECAAMANO</t>
  </si>
  <si>
    <t>30019397</t>
  </si>
  <si>
    <t>CDEE-SED-SPL-ANE</t>
  </si>
  <si>
    <t>SISTEMAS ANEXOS</t>
  </si>
  <si>
    <t>SBAUT001</t>
  </si>
  <si>
    <t>30052303</t>
  </si>
  <si>
    <t>CHSS-SE-LIA-L1K-LIN12</t>
  </si>
  <si>
    <t>"LINEA 12 100 KV ""S/E CHUQUI - S/E K-1"</t>
  </si>
  <si>
    <t>PMIRA012</t>
  </si>
  <si>
    <t>29022376</t>
  </si>
  <si>
    <t>CHSS-SU-CTS-A90-COS24</t>
  </si>
  <si>
    <t>COMPRESOR CENTRIFUGO ELLIOTT 24</t>
  </si>
  <si>
    <t>29128380</t>
  </si>
  <si>
    <t>CHSS-SU-CTR-GDA</t>
  </si>
  <si>
    <t>GENERACION DE AIRE</t>
  </si>
  <si>
    <t>LIB. NOTP DOCU IMOP MACO MOVM PREC PRPA</t>
  </si>
  <si>
    <t>29929293</t>
  </si>
  <si>
    <t>221165</t>
  </si>
  <si>
    <t>408138</t>
  </si>
  <si>
    <t>29956155</t>
  </si>
  <si>
    <t>CHSS-SU-CTS-A70</t>
  </si>
  <si>
    <t>GENERACION DE AIRE DE 70 LB</t>
  </si>
  <si>
    <t>220521</t>
  </si>
  <si>
    <t>406889</t>
  </si>
  <si>
    <t>29967392</t>
  </si>
  <si>
    <t>CDEE-SEP-SAL-GI3-SW2-CHP</t>
  </si>
  <si>
    <t>CUBICULO CHANCADO PRIMARIO</t>
  </si>
  <si>
    <t>IP1020260418</t>
  </si>
  <si>
    <t>40129</t>
  </si>
  <si>
    <t>72913</t>
  </si>
  <si>
    <t>29998381</t>
  </si>
  <si>
    <t>CHSS-SE-SUP-SPA-SUBTC-SAP-G220</t>
  </si>
  <si>
    <t>SISTEMA SAPCI S/E TCHITACK GIS 220KV</t>
  </si>
  <si>
    <t>226083</t>
  </si>
  <si>
    <t>419620</t>
  </si>
  <si>
    <t>29998386</t>
  </si>
  <si>
    <t>CHSS-SE-SUP-SPA-SUBTC-SAP-G345</t>
  </si>
  <si>
    <t>SISTEMA SAPCI S/E TCHITACK GIS 34,5KV</t>
  </si>
  <si>
    <t>226084</t>
  </si>
  <si>
    <t>419623</t>
  </si>
  <si>
    <t>29999744</t>
  </si>
  <si>
    <t>CHSS-SU-CTR-INS-SLT01</t>
  </si>
  <si>
    <t>SALA ELECTRICA</t>
  </si>
  <si>
    <t>29999798</t>
  </si>
  <si>
    <t>CHSS-SU-CTS-SAL</t>
  </si>
  <si>
    <t>SALAS ELECTRICAS</t>
  </si>
  <si>
    <t>CO2</t>
  </si>
  <si>
    <t>30055233</t>
  </si>
  <si>
    <t>CHCO-IN-INF-EDF-OFI01</t>
  </si>
  <si>
    <t>EDIFICIO GERENCIA CONCENTRADORA</t>
  </si>
  <si>
    <t>LIB. NOTP DOCU IMOP KKMP PREC</t>
  </si>
  <si>
    <t>FHUAI001</t>
  </si>
  <si>
    <t>JSOUB002</t>
  </si>
  <si>
    <t>29580203</t>
  </si>
  <si>
    <t>CHSS-SU-CTS-A30-CAP29-SEN-BBA1</t>
  </si>
  <si>
    <t>BOMBA N° 1, ENFRIADERA</t>
  </si>
  <si>
    <t>29877735</t>
  </si>
  <si>
    <t>CDEE-SEP-SEA-P18</t>
  </si>
  <si>
    <t>PAÑO TRANSFORMADOR Nº18</t>
  </si>
  <si>
    <t>29963345</t>
  </si>
  <si>
    <t>CHSS-SE-SUP-SPA-SUBSO</t>
  </si>
  <si>
    <t>SUBESTACION SOPLADORES</t>
  </si>
  <si>
    <t>155127</t>
  </si>
  <si>
    <t>279882</t>
  </si>
  <si>
    <t>29963346</t>
  </si>
  <si>
    <t>CHSS-SE-SUP-SPA-SUBK1</t>
  </si>
  <si>
    <t>SUBESTACION K-1</t>
  </si>
  <si>
    <t>155130</t>
  </si>
  <si>
    <t>279914</t>
  </si>
  <si>
    <t>29963347</t>
  </si>
  <si>
    <t>155156</t>
  </si>
  <si>
    <t>279905</t>
  </si>
  <si>
    <t>29963348</t>
  </si>
  <si>
    <t>155159</t>
  </si>
  <si>
    <t>279917</t>
  </si>
  <si>
    <t>29999838</t>
  </si>
  <si>
    <t>CHSS-SU-CTS-A30-CAP29</t>
  </si>
  <si>
    <t>COMPRESOR CENTRIFUGO 29</t>
  </si>
  <si>
    <t>30046345</t>
  </si>
  <si>
    <t>LIB. NOTI IMOP JBFI KKMP PREC</t>
  </si>
  <si>
    <t>VSANT007</t>
  </si>
  <si>
    <t>30052226</t>
  </si>
  <si>
    <t>CHSS-SU-PHC-SAL-SIL02-SIL</t>
  </si>
  <si>
    <t>LINEAS DE CARGA NEUMATICA</t>
  </si>
  <si>
    <t>29794294</t>
  </si>
  <si>
    <t>CHSS-SE-PAT-S10-PAT7A</t>
  </si>
  <si>
    <t>PAÑO TRANSFORMADOR Nº7A</t>
  </si>
  <si>
    <t>29950728</t>
  </si>
  <si>
    <t>CHSS-SE-SUP-SPA-SUBTC-TRF-TRA2</t>
  </si>
  <si>
    <t>TRANSFORMADOR T2 220/34.5KV 75/100MVA</t>
  </si>
  <si>
    <t>204428</t>
  </si>
  <si>
    <t>375588</t>
  </si>
  <si>
    <t>29967478</t>
  </si>
  <si>
    <t>CHSS-SE-GKV-SCH-GI220</t>
  </si>
  <si>
    <t>GIS 220 kV CHUQUICAMATA</t>
  </si>
  <si>
    <t>204363</t>
  </si>
  <si>
    <t>375059</t>
  </si>
  <si>
    <t>29998087</t>
  </si>
  <si>
    <t>CHSS-SE-GKV-SCH-GI100</t>
  </si>
  <si>
    <t>GIS 100 kV CHUQUICAMATA</t>
  </si>
  <si>
    <t>193024</t>
  </si>
  <si>
    <t>352523</t>
  </si>
  <si>
    <t>30011677</t>
  </si>
  <si>
    <t>IP1020260502</t>
  </si>
  <si>
    <t>204441</t>
  </si>
  <si>
    <t>352901</t>
  </si>
  <si>
    <t>30020804</t>
  </si>
  <si>
    <t>CHSS-SE-SUP-SPA-SUBTC-TRF-TRA1</t>
  </si>
  <si>
    <t>TRANSFORMADOR T1 220/34.5KV 75/100MVA</t>
  </si>
  <si>
    <t>IP1020260505</t>
  </si>
  <si>
    <t>192891</t>
  </si>
  <si>
    <t>352900</t>
  </si>
  <si>
    <t>30056232</t>
  </si>
  <si>
    <t>CHSS-SU-CTR-GDA-CAP03-CMT-PANC</t>
  </si>
  <si>
    <t>PANEL DE CONTROL (INST. Y MEDICIONES)</t>
  </si>
  <si>
    <t>30056403</t>
  </si>
  <si>
    <t>CHSS-SU-PHC-MMV-BBARE-BBA</t>
  </si>
  <si>
    <t>BOMBA RECIRCULADORA 1T</t>
  </si>
  <si>
    <t>29782177</t>
  </si>
  <si>
    <t>CHSS-SU-PHC-MMH-MLH02-DUC</t>
  </si>
  <si>
    <t>DUCTO DE ALIMENTACIÓN DE CAL</t>
  </si>
  <si>
    <t>30027247</t>
  </si>
  <si>
    <t>136288</t>
  </si>
  <si>
    <t>246318</t>
  </si>
  <si>
    <t>30058469</t>
  </si>
  <si>
    <t>CHSS-SU-PHC-TLC-BBA3B</t>
  </si>
  <si>
    <t>BOMBA 3B CCON</t>
  </si>
  <si>
    <t>LIB. NOTP IMOP KKMP PREC</t>
  </si>
  <si>
    <t>CGSSERTE</t>
  </si>
  <si>
    <t>CGSSTM02</t>
  </si>
  <si>
    <t>CGSSTM03</t>
  </si>
  <si>
    <t>Cumple</t>
  </si>
  <si>
    <t>No Cumple</t>
  </si>
  <si>
    <t>Avisos Pendientes</t>
  </si>
  <si>
    <t>Avisos</t>
  </si>
  <si>
    <t>Total general</t>
  </si>
  <si>
    <t>Órdenes Pendientes</t>
  </si>
  <si>
    <t>Órdenes</t>
  </si>
  <si>
    <t>% Trabajo Planificado</t>
  </si>
  <si>
    <t>Suma de HH Totales Reales</t>
  </si>
  <si>
    <t>Cumplimiento</t>
  </si>
  <si>
    <t>Programa Semanal</t>
  </si>
  <si>
    <t>Suma de Total Op. Programadas</t>
  </si>
  <si>
    <t>% Cumplimiento</t>
  </si>
  <si>
    <t>Suma de Cantidad de Operaciones totales</t>
  </si>
  <si>
    <t>Concentradora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</si>
</sst>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;\-#,##0;#,##0;@"/>
    <numFmt numFmtId="166" formatCode="#,##0.000;\-#,##0.000;#,##0.000;@"/>
    <numFmt numFmtId="167" formatCode="#,##0.00;\-#,##0.00;#,##0.00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C4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843"/>
        <bgColor indexed="64"/>
      </patternFill>
    </fill>
    <fill>
      <patternFill patternType="solid">
        <fgColor rgb="FFC6C4C4"/>
        <bgColor rgb="FF000000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  <fill>
      <patternFill patternType="solid">
        <fgColor theme="5" tint="-0.249977111117893"/>
        <bgColor theme="5" tint="-0.249977111117893"/>
      </patternFill>
    </fill>
  </fills>
  <borders count="18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/>
      <top/>
      <bottom style="medium">
        <color rgb="FFAEAEAE"/>
      </bottom>
      <diagonal/>
    </border>
    <border>
      <left/>
      <right/>
      <top style="medium">
        <color rgb="FFAEAEAE"/>
      </top>
      <bottom/>
      <diagonal/>
    </border>
    <border>
      <left/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/>
      <top style="medium">
        <color rgb="FFAEAEAE"/>
      </top>
      <bottom/>
      <diagonal/>
    </border>
    <border>
      <left/>
      <right/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 style="medium">
        <color rgb="FFAEAEAE"/>
      </right>
      <top/>
      <bottom/>
      <diagonal/>
    </border>
    <border>
      <left/>
      <right/>
      <top/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double">
        <color theme="5" tint="-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5" fontId="4" fillId="3" borderId="1" xfId="0" applyNumberFormat="1" applyFont="1" applyFill="1" applyBorder="1" applyAlignment="1">
      <alignment horizontal="right" vertical="center" wrapText="1"/>
    </xf>
    <xf numFmtId="165" fontId="4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6" fontId="4" fillId="3" borderId="1" xfId="0" applyNumberFormat="1" applyFont="1" applyFill="1" applyBorder="1" applyAlignment="1">
      <alignment horizontal="right" vertical="center" wrapText="1"/>
    </xf>
    <xf numFmtId="166" fontId="4" fillId="5" borderId="1" xfId="0" applyNumberFormat="1" applyFont="1" applyFill="1" applyBorder="1" applyAlignment="1">
      <alignment horizontal="right" vertical="center" wrapText="1"/>
    </xf>
    <xf numFmtId="167" fontId="4" fillId="3" borderId="1" xfId="0" applyNumberFormat="1" applyFont="1" applyFill="1" applyBorder="1" applyAlignment="1">
      <alignment horizontal="right" vertical="center" wrapText="1"/>
    </xf>
    <xf numFmtId="167" fontId="4" fillId="4" borderId="1" xfId="0" applyNumberFormat="1" applyFont="1" applyFill="1" applyBorder="1" applyAlignment="1">
      <alignment horizontal="right" vertical="center" wrapText="1"/>
    </xf>
    <xf numFmtId="166" fontId="4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7" fontId="4" fillId="5" borderId="1" xfId="0" applyNumberFormat="1" applyFont="1" applyFill="1" applyBorder="1" applyAlignment="1">
      <alignment horizontal="righ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4" fillId="5" borderId="3" xfId="0" applyNumberFormat="1" applyFont="1" applyFill="1" applyBorder="1" applyAlignment="1">
      <alignment horizontal="left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left" vertical="center" wrapText="1"/>
    </xf>
    <xf numFmtId="49" fontId="4" fillId="2" borderId="3" xfId="0" applyNumberFormat="1" applyFont="1" applyFill="1" applyBorder="1" applyAlignment="1">
      <alignment horizontal="left" vertical="center" wrapText="1"/>
    </xf>
    <xf numFmtId="165" fontId="4" fillId="3" borderId="2" xfId="0" applyNumberFormat="1" applyFont="1" applyFill="1" applyBorder="1" applyAlignment="1">
      <alignment horizontal="right" vertical="center" wrapText="1"/>
    </xf>
    <xf numFmtId="165" fontId="4" fillId="4" borderId="2" xfId="0" applyNumberFormat="1" applyFont="1" applyFill="1" applyBorder="1" applyAlignment="1">
      <alignment horizontal="right" vertical="center" wrapText="1"/>
    </xf>
    <xf numFmtId="49" fontId="4" fillId="2" borderId="5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right" vertical="center" wrapText="1"/>
    </xf>
    <xf numFmtId="49" fontId="4" fillId="5" borderId="8" xfId="0" applyNumberFormat="1" applyFont="1" applyFill="1" applyBorder="1" applyAlignment="1">
      <alignment horizontal="left" vertical="center" wrapText="1"/>
    </xf>
    <xf numFmtId="49" fontId="4" fillId="5" borderId="9" xfId="0" applyNumberFormat="1" applyFont="1" applyFill="1" applyBorder="1" applyAlignment="1">
      <alignment horizontal="left" vertical="center" wrapText="1"/>
    </xf>
    <xf numFmtId="165" fontId="4" fillId="5" borderId="10" xfId="0" applyNumberFormat="1" applyFont="1" applyFill="1" applyBorder="1" applyAlignment="1">
      <alignment horizontal="right" vertical="center" wrapText="1"/>
    </xf>
    <xf numFmtId="49" fontId="4" fillId="2" borderId="11" xfId="0" applyNumberFormat="1" applyFont="1" applyFill="1" applyBorder="1" applyAlignment="1">
      <alignment horizontal="left" vertical="center" wrapText="1"/>
    </xf>
    <xf numFmtId="166" fontId="4" fillId="3" borderId="2" xfId="0" applyNumberFormat="1" applyFont="1" applyFill="1" applyBorder="1" applyAlignment="1">
      <alignment horizontal="right" vertical="center" wrapText="1"/>
    </xf>
    <xf numFmtId="166" fontId="4" fillId="4" borderId="2" xfId="0" applyNumberFormat="1" applyFont="1" applyFill="1" applyBorder="1" applyAlignment="1">
      <alignment horizontal="right" vertical="center" wrapText="1"/>
    </xf>
    <xf numFmtId="167" fontId="4" fillId="5" borderId="12" xfId="0" applyNumberFormat="1" applyFont="1" applyFill="1" applyBorder="1" applyAlignment="1">
      <alignment horizontal="right" vertical="center" wrapText="1"/>
    </xf>
    <xf numFmtId="165" fontId="4" fillId="5" borderId="12" xfId="0" applyNumberFormat="1" applyFont="1" applyFill="1" applyBorder="1" applyAlignment="1">
      <alignment horizontal="right" vertical="center" wrapText="1"/>
    </xf>
    <xf numFmtId="166" fontId="4" fillId="5" borderId="10" xfId="0" applyNumberFormat="1" applyFont="1" applyFill="1" applyBorder="1" applyAlignment="1">
      <alignment horizontal="right" vertical="center" wrapText="1"/>
    </xf>
    <xf numFmtId="49" fontId="4" fillId="6" borderId="5" xfId="0" applyNumberFormat="1" applyFont="1" applyFill="1" applyBorder="1" applyAlignment="1">
      <alignment horizontal="left" vertical="center" wrapText="1"/>
    </xf>
    <xf numFmtId="49" fontId="4" fillId="6" borderId="11" xfId="0" applyNumberFormat="1" applyFont="1" applyFill="1" applyBorder="1" applyAlignment="1">
      <alignment horizontal="left" vertical="center" wrapText="1"/>
    </xf>
    <xf numFmtId="49" fontId="4" fillId="2" borderId="13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  <xf numFmtId="0" fontId="5" fillId="8" borderId="0" xfId="0" applyFont="1" applyFill="1" applyAlignment="1">
      <alignment vertical="top"/>
    </xf>
    <xf numFmtId="4" fontId="5" fillId="8" borderId="0" xfId="0" applyNumberFormat="1" applyFont="1" applyFill="1" applyAlignment="1">
      <alignment vertical="top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9" borderId="14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2" fillId="0" borderId="17" xfId="1" applyNumberFormat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  <xf numFmtId="10" fontId="0" fillId="0" borderId="0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1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top style="medium">
          <color rgb="FFAEAEAE"/>
        </top>
      </border>
    </dxf>
    <dxf>
      <border outline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border outline="0"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AEAEAE"/>
        </left>
        <right style="medium">
          <color rgb="FFAEAEA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6" formatCode="#,##0.000;\-#,##0.000;#,##0.000;@"/>
      <fill>
        <patternFill patternType="solid">
          <fgColor indexed="64"/>
          <bgColor rgb="FFFFF843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AEAEAE"/>
        </left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5" formatCode="#,##0;\-#,##0;#,##0;@"/>
      <fill>
        <patternFill patternType="solid">
          <fgColor indexed="64"/>
          <bgColor rgb="FFFFF843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7" formatCode="#,##0.00;\-#,##0.00;#,##0.00;@"/>
      <fill>
        <patternFill patternType="solid">
          <fgColor indexed="64"/>
          <bgColor rgb="FFFFF843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FFF843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top style="medium">
          <color rgb="FFAEAEAE"/>
        </top>
      </border>
    </dxf>
    <dxf>
      <border outline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border outline="0"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AEAEAE"/>
        </left>
        <right style="medium">
          <color rgb="FFAEAEA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4" formatCode="dd\.mm\.yyyy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4" formatCode="dd\.mm\.yyyy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left style="medium">
          <color rgb="FFAEAEAE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rgb="FFAEAEAE"/>
        </left>
        <right style="medium">
          <color rgb="FFAEAEA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top style="medium">
          <color rgb="FFAEAEAE"/>
        </top>
      </border>
    </dxf>
    <dxf>
      <border outline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</dxf>
    <dxf>
      <border outline="0"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AEAEAE"/>
        </left>
        <right style="medium">
          <color rgb="FFAEAEA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4" formatCode="dd\.mm\.yyyy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  <border diagonalUp="0" diagonalDown="0">
        <left/>
        <right style="medium">
          <color rgb="FFAEAEAE"/>
        </right>
        <top style="medium">
          <color rgb="FFAEAEAE"/>
        </top>
        <bottom style="medium">
          <color rgb="FFAEAEAE"/>
        </bottom>
        <vertical/>
        <horizontal/>
      </border>
    </dxf>
    <dxf>
      <border outline="0">
        <top style="medium">
          <color rgb="FFAEAEAE"/>
        </top>
      </border>
    </dxf>
    <dxf>
      <border outline="0">
        <left style="medium">
          <color rgb="FFAEAEAE"/>
        </left>
        <right style="medium">
          <color rgb="FFAEAEAE"/>
        </right>
        <top style="medium">
          <color rgb="FFAEAEAE"/>
        </top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solid">
          <fgColor indexed="64"/>
          <bgColor rgb="FFC6C4C4"/>
        </patternFill>
      </fill>
      <alignment horizontal="left" vertical="center" textRotation="0" wrapText="1" indent="0" justifyLastLine="0" shrinkToFit="0" readingOrder="0"/>
    </dxf>
    <dxf>
      <border outline="0">
        <bottom style="medium">
          <color rgb="FFAEAEA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30" formatCode="@"/>
      <fill>
        <patternFill patternType="solid">
          <fgColor rgb="FF000000"/>
          <bgColor rgb="FFC6C4C4"/>
        </patternFill>
      </fill>
      <alignment horizontal="left" vertical="center" textRotation="0" wrapText="1" indent="0" justifyLastLine="0" shrinkToFit="0" readingOrder="0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#,##0;\-#,##0;#,##0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#,##0;\-#,##0;#,##0;@"/>
    </dxf>
    <dxf>
      <alignment horizontal="center"/>
    </dxf>
    <dxf>
      <font>
        <b/>
      </font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wrapText="0"/>
    </dxf>
    <dxf>
      <alignment wrapText="1"/>
    </dxf>
    <dxf>
      <alignment horizontal="center"/>
    </dxf>
    <dxf>
      <alignment horizontal="center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font>
        <b/>
      </font>
    </dxf>
    <dxf>
      <alignment horizontal="center"/>
    </dxf>
    <dxf>
      <alignment horizontal="general"/>
    </dxf>
    <dxf>
      <alignment wrapText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0.427124074071" createdVersion="8" refreshedVersion="8" minRefreshableVersion="3" recordCount="7" xr:uid="{71FEA758-2CF4-47AF-8DA4-76AB61731ACE}">
  <cacheSource type="worksheet">
    <worksheetSource ref="A1:Q8" sheet="Avisos Pendientes"/>
  </cacheSource>
  <cacheFields count="17">
    <cacheField name="Año natural/Semana" numFmtId="49">
      <sharedItems/>
    </cacheField>
    <cacheField name="Fase" numFmtId="49">
      <sharedItems/>
    </cacheField>
    <cacheField name="Proceso" numFmtId="49">
      <sharedItems count="1">
        <s v="02 SUMINISTRO ELECTRICO DCH"/>
      </sharedItems>
    </cacheField>
    <cacheField name="SubProceso" numFmtId="49">
      <sharedItems/>
    </cacheField>
    <cacheField name="Aviso" numFmtId="49">
      <sharedItems/>
    </cacheField>
    <cacheField name="Txt. Breve" numFmtId="49">
      <sharedItems/>
    </cacheField>
    <cacheField name="Clase de aviso" numFmtId="49">
      <sharedItems/>
    </cacheField>
    <cacheField name="Prioridad" numFmtId="49">
      <sharedItems/>
    </cacheField>
    <cacheField name="Status de Sistema" numFmtId="49">
      <sharedItems/>
    </cacheField>
    <cacheField name="Fecha Aviso PM" numFmtId="164">
      <sharedItems containsSemiMixedTypes="0" containsNonDate="0" containsDate="1" containsString="0" minDate="2026-04-28T00:00:00" maxDate="2026-05-04T00:00:00"/>
    </cacheField>
    <cacheField name="Gr.planif.PM" numFmtId="49">
      <sharedItems count="1">
        <s v="Pl.Dist.Energ.Elec"/>
      </sharedItems>
    </cacheField>
    <cacheField name="Gr.Planif" numFmtId="49">
      <sharedItems count="1">
        <s v="C82"/>
      </sharedItems>
    </cacheField>
    <cacheField name="Orden mantenimiento" numFmtId="49">
      <sharedItems/>
    </cacheField>
    <cacheField name="Columna3" numFmtId="49">
      <sharedItems/>
    </cacheField>
    <cacheField name="Puesto de trabajo" numFmtId="49">
      <sharedItems/>
    </cacheField>
    <cacheField name="Pto. Trabajo" numFmtId="49">
      <sharedItems/>
    </cacheField>
    <cacheField name="Número de avisos pendientes" numFmtId="165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0.427423726855" createdVersion="8" refreshedVersion="8" minRefreshableVersion="3" recordCount="29" xr:uid="{3F152E3D-7FA6-4E7E-8F03-FC6A9C96F618}">
  <cacheSource type="worksheet">
    <worksheetSource ref="A1:O30" sheet="Órdenes Pendientes"/>
  </cacheSource>
  <cacheFields count="15">
    <cacheField name="Gr.planif.PM" numFmtId="49">
      <sharedItems count="5">
        <s v="Pl.Termoelec.Chuq."/>
        <s v="Pl.Tall.Electr.Cen"/>
        <s v="Pl.Maestranza.Cent"/>
        <s v="Pl.Dist.Energ.Elec"/>
        <s v="Pl.Calderería.Cent"/>
      </sharedItems>
    </cacheField>
    <cacheField name="Gr. Planif" numFmtId="49">
      <sharedItems count="5">
        <s v="C81"/>
        <s v="C84"/>
        <s v="C71"/>
        <s v="C82"/>
        <s v="C72"/>
      </sharedItems>
    </cacheField>
    <cacheField name="Fase" numFmtId="49">
      <sharedItems/>
    </cacheField>
    <cacheField name="Proceso" numFmtId="49">
      <sharedItems count="4">
        <s v="03 PLANTAS DE SUMINISTROS DCH"/>
        <s v="01 INFRAESTRUC CONC DCH"/>
        <s v="99 ESENCIALES INFRA. SERV. DCH"/>
        <s v="02 SUMINISTRO ELECTRICO DCH"/>
      </sharedItems>
    </cacheField>
    <cacheField name="Sub-Proceso" numFmtId="49">
      <sharedItems/>
    </cacheField>
    <cacheField name="Orden mantenimiento" numFmtId="49">
      <sharedItems/>
    </cacheField>
    <cacheField name="Txt. Breve" numFmtId="49">
      <sharedItems/>
    </cacheField>
    <cacheField name="Status de Sistema" numFmtId="49">
      <sharedItems/>
    </cacheField>
    <cacheField name="Clase de orden" numFmtId="49">
      <sharedItems/>
    </cacheField>
    <cacheField name="Clase actividad PM" numFmtId="49">
      <sharedItems/>
    </cacheField>
    <cacheField name="Actividad PM" numFmtId="49">
      <sharedItems/>
    </cacheField>
    <cacheField name="Año natural/Semana" numFmtId="49">
      <sharedItems/>
    </cacheField>
    <cacheField name="Pto. Trabajo" numFmtId="49">
      <sharedItems/>
    </cacheField>
    <cacheField name="Puesto de trabajo" numFmtId="49">
      <sharedItems/>
    </cacheField>
    <cacheField name="Número de OT Pendientes" numFmtId="165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0.427749305556" createdVersion="8" refreshedVersion="8" minRefreshableVersion="3" recordCount="143" xr:uid="{3CF57072-3CB1-4499-8A28-34778C24CDD9}">
  <cacheSource type="worksheet">
    <worksheetSource ref="A1:V144" sheet="% Trabajo Planificado"/>
  </cacheSource>
  <cacheFields count="23">
    <cacheField name="Año natural/Semana" numFmtId="49">
      <sharedItems/>
    </cacheField>
    <cacheField name="Fase" numFmtId="49">
      <sharedItems/>
    </cacheField>
    <cacheField name="Proceso" numFmtId="49">
      <sharedItems count="4">
        <s v="01 INFRAESTRUC CONC DCH"/>
        <s v="02 SUMINISTRO ELECTRICO DCH"/>
        <s v="03 PLANTAS DE SUMINISTROS DCH"/>
        <s v="99 ESENCIALES INFRA. SERV. DCH"/>
      </sharedItems>
    </cacheField>
    <cacheField name="SubProceso" numFmtId="49">
      <sharedItems/>
    </cacheField>
    <cacheField name="Puesto de trabajo" numFmtId="49">
      <sharedItems/>
    </cacheField>
    <cacheField name="Psto. Trabaj" numFmtId="49">
      <sharedItems/>
    </cacheField>
    <cacheField name="Clase actividad PM" numFmtId="49">
      <sharedItems/>
    </cacheField>
    <cacheField name="Actividad PM" numFmtId="49">
      <sharedItems/>
    </cacheField>
    <cacheField name="Gr. planif" numFmtId="0">
      <sharedItems count="3">
        <s v="CO2"/>
        <s v="C82"/>
        <s v="C81"/>
      </sharedItems>
    </cacheField>
    <cacheField name="Gr. planif.PM" numFmtId="0">
      <sharedItems count="3">
        <s v="Concentradora A2"/>
        <s v="Pl.Dist.Energ.Elec"/>
        <s v="Pl.Termoelec.Chuq."/>
      </sharedItems>
    </cacheField>
    <cacheField name="Orden mantenimiento" numFmtId="49">
      <sharedItems/>
    </cacheField>
    <cacheField name="Txt. Breve" numFmtId="49">
      <sharedItems/>
    </cacheField>
    <cacheField name="Status de Sistema" numFmtId="49">
      <sharedItems/>
    </cacheField>
    <cacheField name="Clase de orden" numFmtId="49">
      <sharedItems/>
    </cacheField>
    <cacheField name="Horizonte" numFmtId="0">
      <sharedItems containsSemiMixedTypes="0" containsString="0" containsNumber="1" containsInteger="1" minValue="-2" maxValue="474"/>
    </cacheField>
    <cacheField name="Fecha Libera Orden" numFmtId="164">
      <sharedItems containsSemiMixedTypes="0" containsNonDate="0" containsDate="1" containsString="0" minDate="2025-01-23T00:00:00" maxDate="2026-05-18T00:00:00"/>
    </cacheField>
    <cacheField name="Fecha inicio real" numFmtId="164">
      <sharedItems containsSemiMixedTypes="0" containsNonDate="0" containsDate="1" containsString="0" minDate="2026-05-11T00:00:00" maxDate="2026-05-18T00:00:00"/>
    </cacheField>
    <cacheField name="Grupo hojas de ruta" numFmtId="49">
      <sharedItems/>
    </cacheField>
    <cacheField name="% Planificado (HH)" numFmtId="0">
      <sharedItems containsString="0" containsBlank="1" containsNumber="1" containsInteger="1" minValue="0" maxValue="100"/>
    </cacheField>
    <cacheField name="HH Plan. Reales" numFmtId="0">
      <sharedItems containsString="0" containsBlank="1" containsNumber="1" minValue="0" maxValue="101"/>
    </cacheField>
    <cacheField name="HH Totales Reales" numFmtId="166">
      <sharedItems containsSemiMixedTypes="0" containsString="0" containsNumber="1" minValue="1" maxValue="101"/>
    </cacheField>
    <cacheField name="Criterio" numFmtId="0">
      <sharedItems count="3">
        <s v="Imprevistos"/>
        <s v="Planificado"/>
        <s v="Sin HR"/>
      </sharedItems>
    </cacheField>
    <cacheField name="%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0.428100925928" createdVersion="8" refreshedVersion="8" minRefreshableVersion="3" recordCount="119" xr:uid="{BF286808-A2AC-4096-BFCB-B0133CE14607}">
  <cacheSource type="worksheet">
    <worksheetSource ref="A1:R120" sheet="Programa Semanal"/>
  </cacheSource>
  <cacheFields count="18">
    <cacheField name="Gr.planif.PM" numFmtId="49">
      <sharedItems count="2">
        <s v="Pl.Dist.Energ.Elec"/>
        <s v="Pl.Termoelec.Chuq."/>
      </sharedItems>
    </cacheField>
    <cacheField name="Gr.planif" numFmtId="49">
      <sharedItems count="2">
        <s v="C82"/>
        <s v="C81"/>
      </sharedItems>
    </cacheField>
    <cacheField name="S Agr Fec Ini + Temp" numFmtId="49">
      <sharedItems/>
    </cacheField>
    <cacheField name="Fase" numFmtId="49">
      <sharedItems/>
    </cacheField>
    <cacheField name="Proceso" numFmtId="49">
      <sharedItems count="3">
        <s v="02 SUMINISTRO ELECTRICO DCH"/>
        <s v="99 ESENCIALES INFRA. SERV. DCH"/>
        <s v="03 PLANTAS DE SUMINISTROS DCH"/>
      </sharedItems>
    </cacheField>
    <cacheField name="SubProceso" numFmtId="49">
      <sharedItems/>
    </cacheField>
    <cacheField name="Puesto de trabajo" numFmtId="49">
      <sharedItems/>
    </cacheField>
    <cacheField name="Psto. Trabaj" numFmtId="49">
      <sharedItems/>
    </cacheField>
    <cacheField name="Clase actividad PM" numFmtId="49">
      <sharedItems/>
    </cacheField>
    <cacheField name="Actividad PM" numFmtId="49">
      <sharedItems/>
    </cacheField>
    <cacheField name="Orden mantenimiento" numFmtId="49">
      <sharedItems/>
    </cacheField>
    <cacheField name="Txt. Breve" numFmtId="49">
      <sharedItems/>
    </cacheField>
    <cacheField name="Clase de orden" numFmtId="49">
      <sharedItems/>
    </cacheField>
    <cacheField name="Status de Sistema" numFmtId="49">
      <sharedItems/>
    </cacheField>
    <cacheField name="Cumplimiento Prog. Semanal (Op)" numFmtId="167">
      <sharedItems containsSemiMixedTypes="0" containsString="0" containsNumber="1" minValue="0" maxValue="100"/>
    </cacheField>
    <cacheField name="Indicador cumple sem" numFmtId="165">
      <sharedItems containsSemiMixedTypes="0" containsString="0" containsNumber="1" containsInteger="1" minValue="0" maxValue="23"/>
    </cacheField>
    <cacheField name="Total Op. Programadas" numFmtId="166">
      <sharedItems containsSemiMixedTypes="0" containsString="0" containsNumber="1" containsInteger="1" minValue="1" maxValue="23"/>
    </cacheField>
    <cacheField name="Criterio" numFmtId="0">
      <sharedItems count="2">
        <s v="Cumple"/>
        <s v="No Cump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Contreras Luna" refreshedDate="46160.435342708333" createdVersion="8" refreshedVersion="8" minRefreshableVersion="3" recordCount="50" xr:uid="{77FC94C9-6521-46E6-9B30-C238DCCAA0AB}">
  <cacheSource type="worksheet">
    <worksheetSource ref="A1:T51" sheet="Plan Matriz"/>
  </cacheSource>
  <cacheFields count="20">
    <cacheField name="Año natural/Semana" numFmtId="49">
      <sharedItems/>
    </cacheField>
    <cacheField name="Fase" numFmtId="49">
      <sharedItems/>
    </cacheField>
    <cacheField name="Proceso" numFmtId="49">
      <sharedItems count="3">
        <s v="02 SUMINISTRO ELECTRICO DCH"/>
        <s v="03 PLANTAS DE SUMINISTROS DCH"/>
        <s v="99 ESENCIALES INFRA. SERV. DCH"/>
      </sharedItems>
    </cacheField>
    <cacheField name="SubProceso" numFmtId="49">
      <sharedItems/>
    </cacheField>
    <cacheField name="Gr.planif.PM" numFmtId="49">
      <sharedItems count="3">
        <s v="Pl.Dist.Energ.Elec"/>
        <s v="Pl.Termoelec.Chuq."/>
        <s v="Pl.Maestranza.Cent"/>
      </sharedItems>
    </cacheField>
    <cacheField name="Gr.planif" numFmtId="49">
      <sharedItems count="3">
        <s v="C82"/>
        <s v="C81"/>
        <s v="C71"/>
      </sharedItems>
    </cacheField>
    <cacheField name="Clase actividad PM" numFmtId="49">
      <sharedItems/>
    </cacheField>
    <cacheField name="Actividad PM" numFmtId="49">
      <sharedItems/>
    </cacheField>
    <cacheField name="Orden mantenimiento" numFmtId="49">
      <sharedItems/>
    </cacheField>
    <cacheField name="Txt. Breve" numFmtId="49">
      <sharedItems/>
    </cacheField>
    <cacheField name="Status de Sistema" numFmtId="49">
      <sharedItems/>
    </cacheField>
    <cacheField name="Clase de orden" numFmtId="49">
      <sharedItems/>
    </cacheField>
    <cacheField name="Puesto de trabajo" numFmtId="49">
      <sharedItems/>
    </cacheField>
    <cacheField name="Psto. Trabajo" numFmtId="49">
      <sharedItems/>
    </cacheField>
    <cacheField name="% Cumpl. Plan Matriz" numFmtId="167">
      <sharedItems containsSemiMixedTypes="0" containsString="0" containsNumber="1" minValue="0" maxValue="100"/>
    </cacheField>
    <cacheField name="Plan Matriz" numFmtId="167">
      <sharedItems containsSemiMixedTypes="0" containsString="0" containsNumber="1" minValue="0" maxValue="1"/>
    </cacheField>
    <cacheField name="Coeficiente PMA" numFmtId="167">
      <sharedItems containsSemiMixedTypes="0" containsString="0" containsNumber="1" containsInteger="1" minValue="1" maxValue="1"/>
    </cacheField>
    <cacheField name="Cantidad de Operaciones Ejecutadas" numFmtId="165">
      <sharedItems containsSemiMixedTypes="0" containsString="0" containsNumber="1" containsInteger="1" minValue="0" maxValue="25"/>
    </cacheField>
    <cacheField name="Cantidad de Operaciones totales" numFmtId="165">
      <sharedItems containsSemiMixedTypes="0" containsString="0" containsNumber="1" containsInteger="1" minValue="1" maxValue="27"/>
    </cacheField>
    <cacheField name="Criterio" numFmtId="0">
      <sharedItems count="2">
        <s v="No Cumple"/>
        <s v="Cump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18.2026"/>
    <s v="08 INFR SERVIC Y SUMIN DCH"/>
    <x v="0"/>
    <s v="CDEE"/>
    <s v="29998837"/>
    <s v="Descargar Printout Celdas 34.5KV Tchitak"/>
    <s v="M1"/>
    <s v="3"/>
    <s v="DOCU MEAB"/>
    <d v="2026-04-28T00:00:00"/>
    <x v="0"/>
    <x v="0"/>
    <s v="#"/>
    <s v="Sin asignar"/>
    <s v="MANT &amp; PLANIF SUMINISTRO ELECTRICO"/>
    <s v="CGSSERME"/>
    <n v="1"/>
  </r>
  <r>
    <s v="18.2026"/>
    <s v="08 INFR SERVIC Y SUMIN DCH"/>
    <x v="0"/>
    <s v="CDEE"/>
    <s v="30001811"/>
    <s v="EJE IMAGEN TERMICA DE DEFECTUOSO TR14"/>
    <s v="M1"/>
    <s v="3"/>
    <s v="DOCU MEAB"/>
    <d v="2026-04-28T00:00:00"/>
    <x v="0"/>
    <x v="0"/>
    <s v="#"/>
    <s v="Sin asignar"/>
    <s v="MANT &amp; PLANIF SUMINISTRO ELECTRICO"/>
    <s v="CGSSERME"/>
    <n v="1"/>
  </r>
  <r>
    <s v="18.2026"/>
    <s v="08 INFR SERVIC Y SUMIN DCH"/>
    <x v="0"/>
    <s v="CDEE"/>
    <s v="30007775"/>
    <s v="Ejec: ATR 2 SE Chuquicamata 220/100 KV"/>
    <s v="M1"/>
    <s v="3"/>
    <s v="DOCU MEAB"/>
    <d v="2026-04-30T00:00:00"/>
    <x v="0"/>
    <x v="0"/>
    <s v="#"/>
    <s v="Sin asignar"/>
    <s v="MANT &amp; PLANIF SUMINISTRO ELECTRICO"/>
    <s v="CGSSERME"/>
    <n v="1"/>
  </r>
  <r>
    <s v="18.2026"/>
    <s v="08 INFR SERVIC Y SUMIN DCH"/>
    <x v="0"/>
    <s v="CDEE"/>
    <s v="30013617"/>
    <s v="STNcierre perimetral y accesos bloqueado"/>
    <s v="M1"/>
    <s v="3"/>
    <s v="DOCU MEAB"/>
    <d v="2026-05-03T00:00:00"/>
    <x v="0"/>
    <x v="0"/>
    <s v="#"/>
    <s v="Sin asignar"/>
    <s v="MANT &amp; PLANIF SUMINISTRO ELECTRICO"/>
    <s v="CGSSERME"/>
    <n v="1"/>
  </r>
  <r>
    <s v="18.2026"/>
    <s v="08 INFR SERVIC Y SUMIN DCH"/>
    <x v="0"/>
    <s v="CDEE"/>
    <s v="30013618"/>
    <s v="rep. de fugas de aceite en unit. 25-A"/>
    <s v="M1"/>
    <s v="2"/>
    <s v="DOCU MEAB"/>
    <d v="2026-05-03T00:00:00"/>
    <x v="0"/>
    <x v="0"/>
    <s v="#"/>
    <s v="Sin asignar"/>
    <s v="MANT &amp; PLANIF SUMINISTRO ELECTRICO"/>
    <s v="CGSSERME"/>
    <n v="1"/>
  </r>
  <r>
    <s v="18.2026"/>
    <s v="08 INFR SERVIC Y SUMIN DCH"/>
    <x v="0"/>
    <s v="CHSS-SE"/>
    <s v="30012249"/>
    <s v="cambio presostato acoplador de barra"/>
    <s v="M1"/>
    <s v="3"/>
    <s v="DOCU MEAB"/>
    <d v="2026-05-02T00:00:00"/>
    <x v="0"/>
    <x v="0"/>
    <s v="#"/>
    <s v="Sin asignar"/>
    <s v="MANT &amp; PLANIF SUMINISTRO ELECTRICO"/>
    <s v="CGSSERME"/>
    <n v="1"/>
  </r>
  <r>
    <s v="18.2026"/>
    <s v="08 INFR SERVIC Y SUMIN DCH"/>
    <x v="0"/>
    <s v="#"/>
    <s v="30011912"/>
    <s v="Fab. de tablero de control motores TR5-b"/>
    <s v="M1"/>
    <s v="3"/>
    <s v="MEAB"/>
    <d v="2026-05-02T00:00:00"/>
    <x v="0"/>
    <x v="0"/>
    <s v="#"/>
    <s v="Sin asignar"/>
    <s v="MANT &amp; PLANIF SUMINISTRO ELECTRICO"/>
    <s v="CGSSERME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s v="08 INFR SERVIC Y SUMIN DCH"/>
    <x v="0"/>
    <s v="CHSS-SU"/>
    <s v="109500285"/>
    <s v="CAMBIO BBA 3B - FILTRACION"/>
    <s v="LIB. NOTP DOCU IMOP MACO MOVM PREC PROG"/>
    <s v="PL"/>
    <s v="Correctivo Planificado"/>
    <s v="025"/>
    <s v="17.2026"/>
    <s v="MANT &amp; PLANIF CENTRAL TERMICA SULFUROS"/>
    <s v="CGSTMRMM"/>
    <n v="1"/>
  </r>
  <r>
    <x v="0"/>
    <x v="0"/>
    <s v="08 INFR SERVIC Y SUMIN DCH"/>
    <x v="0"/>
    <s v="CHSS-SU"/>
    <s v="109500289"/>
    <s v="CAMBIO BBA 3C - FILTRACION"/>
    <s v="LIB. NOTP DOCU IMOP MACO MOVM PREC PROG"/>
    <s v="PL"/>
    <s v="Correctivo Planificado"/>
    <s v="025"/>
    <s v="17.2026"/>
    <s v="MANT &amp; PLANIF CENTRAL TERMICA SULFUROS"/>
    <s v="CGSTMRMM"/>
    <n v="1"/>
  </r>
  <r>
    <x v="0"/>
    <x v="0"/>
    <s v="08 INFR SERVIC Y SUMIN DCH"/>
    <x v="0"/>
    <s v="CHSS-SU"/>
    <s v="109501785"/>
    <s v="CAMBIO BBA 1B - FILTRACION SELLOS"/>
    <s v="LIB. NOTP DOCU IMOP MACO PREC PROG TRAT"/>
    <s v="PL"/>
    <s v="Correctivo Planificado"/>
    <s v="025"/>
    <s v="16.2026"/>
    <s v="MANT &amp; PLANIF CENTRAL TERMICA SULFUROS"/>
    <s v="CGSTMRMM"/>
    <n v="1"/>
  </r>
  <r>
    <x v="0"/>
    <x v="0"/>
    <s v="08 INFR SERVIC Y SUMIN DCH"/>
    <x v="0"/>
    <s v="CHSS-SU"/>
    <s v="109654371"/>
    <s v="FUCO26 Cambio Tubo nivel Des Caldera 3"/>
    <s v="LIB. NOTI IMOP JBFI MACO MOVM PREC PROG"/>
    <s v="PL"/>
    <s v="Correctivo Planificado"/>
    <s v="025"/>
    <s v="17.2026"/>
    <s v="MANT &amp; PLANIF CENTRAL TERMICA SULFUROS"/>
    <s v="CGSTMRMM"/>
    <n v="1"/>
  </r>
  <r>
    <x v="0"/>
    <x v="0"/>
    <s v="08 INFR SERVIC Y SUMIN DCH"/>
    <x v="0"/>
    <s v="CHSS-SU"/>
    <s v="110011685"/>
    <s v="CTR FILTROS DE CARTUCHOS SATURADOS-MALOS"/>
    <s v="LIB. IMOP MACO MOVM PREC PROG TRAT"/>
    <s v="PL"/>
    <s v="Correctivo Planificado"/>
    <s v="025"/>
    <s v="11.2026"/>
    <s v="MANT &amp; PLANIF CENTRAL TERMICA SULFUROS"/>
    <s v="CGSTMRMM"/>
    <n v="1"/>
  </r>
  <r>
    <x v="1"/>
    <x v="1"/>
    <s v="08 INFR SERVIC Y SUMIN DCH"/>
    <x v="1"/>
    <s v="#"/>
    <s v="110454096"/>
    <s v="22-5523 200HP 4160V 290RPM FLA"/>
    <s v="LIB. IMOP KKMP MOVM PREC TRAT"/>
    <s v="ST"/>
    <s v="Reparación"/>
    <s v="060"/>
    <s v="17.2026"/>
    <s v="MANT &amp; PLANIF. TALLER ELECTRICO CENTRAL"/>
    <s v="CGSSERTE"/>
    <n v="1"/>
  </r>
  <r>
    <x v="2"/>
    <x v="2"/>
    <s v="08 INFR SERVIC Y SUMIN DCH"/>
    <x v="1"/>
    <s v="#"/>
    <s v="110150639"/>
    <s v="Rectificar placa base piñón BM"/>
    <s v="LIB. IMOP KKMP PREC TRAT"/>
    <s v="ST"/>
    <s v="Reparación"/>
    <s v="060"/>
    <s v="17.2026"/>
    <s v="SERVICIO INTERNO MAESTRANZA"/>
    <s v="CGSSTM02"/>
    <n v="1"/>
  </r>
  <r>
    <x v="2"/>
    <x v="2"/>
    <s v="08 INFR SERVIC Y SUMIN DCH"/>
    <x v="1"/>
    <s v="#"/>
    <s v="110304391"/>
    <s v="perforar pillow block piñón mobos 18"/>
    <s v="LIB. IMOP KKMP PREC TRAT"/>
    <s v="ST"/>
    <s v="Modificación"/>
    <s v="050"/>
    <s v="17.2026"/>
    <s v="SERVICIO INTERNO MAESTRANZA"/>
    <s v="CGSSTM02"/>
    <n v="1"/>
  </r>
  <r>
    <x v="2"/>
    <x v="2"/>
    <s v="08 INFR SERVIC Y SUMIN DCH"/>
    <x v="1"/>
    <s v="#"/>
    <s v="110304394"/>
    <s v="rebajar base pillow block piñón sag-18"/>
    <s v="LIB. IMOP KKMP PREC TRAT"/>
    <s v="ST"/>
    <s v="Modificación"/>
    <s v="050"/>
    <s v="17.2026"/>
    <s v="SERVICIO INTERNO MAESTRANZA"/>
    <s v="CGSSTM02"/>
    <n v="1"/>
  </r>
  <r>
    <x v="2"/>
    <x v="2"/>
    <s v="08 INFR SERVIC Y SUMIN DCH"/>
    <x v="1"/>
    <s v="#"/>
    <s v="110304610"/>
    <s v="mecanizar acoplamiento reductor feeder"/>
    <s v="LIB. IMOP KKMP PREC TRAT"/>
    <s v="ST"/>
    <s v="Reparación"/>
    <s v="060"/>
    <s v="17.2026"/>
    <s v="SERVICIO INTERNO MAESTRANZA"/>
    <s v="CGSSTM02"/>
    <n v="1"/>
  </r>
  <r>
    <x v="2"/>
    <x v="2"/>
    <s v="08 INFR SERVIC Y SUMIN DCH"/>
    <x v="1"/>
    <s v="#"/>
    <s v="110304611"/>
    <s v="ensamblado de rueda tripeer"/>
    <s v="LIB. IMOP KKMP PREC TRAT"/>
    <s v="ST"/>
    <s v="Reparación"/>
    <s v="060"/>
    <s v="17.2026"/>
    <s v="SERVICIO INTERNO MAESTRANZA"/>
    <s v="CGSSTM02"/>
    <n v="1"/>
  </r>
  <r>
    <x v="2"/>
    <x v="2"/>
    <s v="08 INFR SERVIC Y SUMIN DCH"/>
    <x v="2"/>
    <s v="02 GRUAS INFRA DCH"/>
    <s v="110379900"/>
    <s v="MRT 4S MEC MTTO PUENTE GRUA"/>
    <s v="LIB. NOTI IMOP JBFI KKMP PREC PROG TBTR"/>
    <s v="PL"/>
    <s v="Preventivo Sistemático"/>
    <s v="010"/>
    <s v="18.2026"/>
    <s v="SERVICIO INTERNO MAESTRANZA"/>
    <s v="CGSSTM02"/>
    <n v="1"/>
  </r>
  <r>
    <x v="2"/>
    <x v="2"/>
    <s v="08 INFR SERVIC Y SUMIN DCH"/>
    <x v="2"/>
    <s v="02 GRUAS INFRA DCH"/>
    <s v="110458134"/>
    <s v="Falla Morris  10 ton,Nave Central"/>
    <s v="LIB. NOTI IMOP JBFI KKMP PREC TBTR"/>
    <s v="NP"/>
    <s v="Correctivo No Planificado"/>
    <s v="035"/>
    <s v="18.2026"/>
    <s v="SERVICIO INTERNO MAESTRANZA"/>
    <s v="CGSSTM02"/>
    <n v="1"/>
  </r>
  <r>
    <x v="3"/>
    <x v="3"/>
    <s v="08 INFR SERVIC Y SUMIN DCH"/>
    <x v="3"/>
    <s v="CDEE"/>
    <s v="109910597"/>
    <s v="Mant. c/2 años L-15 S/E CHUQUI - S/E A"/>
    <s v="LIB. NOTP FENA IMOP KKMP PREC PROG TRAT"/>
    <s v="PL"/>
    <s v="Preventivo Sistemático"/>
    <s v="010"/>
    <s v="18.2026"/>
    <s v="MANT &amp; PLANIF SUMINISTRO ELECTRICO"/>
    <s v="CGSSERME"/>
    <n v="1"/>
  </r>
  <r>
    <x v="3"/>
    <x v="3"/>
    <s v="08 INFR SERVIC Y SUMIN DCH"/>
    <x v="3"/>
    <s v="CDEE"/>
    <s v="110186130"/>
    <s v="MTTO. TAB. INTERRUP. SECCION ELECT 5-6-7"/>
    <s v="LIB. IMOP KKMP PREC PROG TRAT"/>
    <s v="PL"/>
    <s v="Correctivo Planificado"/>
    <s v="025"/>
    <s v="17.2026"/>
    <s v="MANT &amp; PLANIF SUMINISTRO ELECTRICO"/>
    <s v="CGSSERME"/>
    <n v="1"/>
  </r>
  <r>
    <x v="3"/>
    <x v="3"/>
    <s v="08 INFR SERVIC Y SUMIN DCH"/>
    <x v="3"/>
    <s v="CDEE"/>
    <s v="110456613"/>
    <s v="Revisión y Rep 52HT9 S/E 10A"/>
    <s v="LIB. NOTI IMOP JBFI KKMP PREC TBTR"/>
    <s v="NP"/>
    <s v="Correctivo No Planificado"/>
    <s v="035"/>
    <s v="17.2026"/>
    <s v="MANT &amp; PLANIF SUMINISTRO ELECTRICO"/>
    <s v="CGSSERME"/>
    <n v="1"/>
  </r>
  <r>
    <x v="3"/>
    <x v="3"/>
    <s v="08 INFR SERVIC Y SUMIN DCH"/>
    <x v="3"/>
    <s v="CDEE"/>
    <s v="110465140"/>
    <s v="Levantamiento Línea 5kV Alim 5014"/>
    <s v="LIB. NOTI DOCU IMOP JBFI KKMP PREC TBTR"/>
    <s v="NP"/>
    <s v="Correctivo No Planificado"/>
    <s v="035"/>
    <s v="17.2026"/>
    <s v="MANT &amp; PLANIF SUMINISTRO ELECTRICO"/>
    <s v="CGSSERME"/>
    <n v="1"/>
  </r>
  <r>
    <x v="3"/>
    <x v="3"/>
    <s v="08 INFR SERVIC Y SUMIN DCH"/>
    <x v="3"/>
    <s v="CDEE"/>
    <s v="110466947"/>
    <s v="STN Traslado Generador a Puerta 2"/>
    <s v="ABIE FENA IMOP KKMP PREC ENET"/>
    <s v="PL"/>
    <s v="Correctivo Planificado"/>
    <s v="025"/>
    <s v="17.2026"/>
    <s v="MANT &amp; PLANIF SUMINISTRO ELECTRICO"/>
    <s v="CGSSERME"/>
    <n v="1"/>
  </r>
  <r>
    <x v="3"/>
    <x v="3"/>
    <s v="08 INFR SERVIC Y SUMIN DCH"/>
    <x v="3"/>
    <s v="CHSS-SE"/>
    <s v="110406048"/>
    <s v="Inspección Alimentador Aducción Talabre."/>
    <s v="LIB. IMOP KKMP PREC TRAT"/>
    <s v="PL"/>
    <s v="Preventivo Predictivo"/>
    <s v="020"/>
    <s v="16.2026"/>
    <s v="MANT &amp; PLANIF SUMINISTRO ELECTRICO"/>
    <s v="CGSSERME"/>
    <n v="1"/>
  </r>
  <r>
    <x v="3"/>
    <x v="3"/>
    <s v="08 INFR SERVIC Y SUMIN DCH"/>
    <x v="3"/>
    <s v="CHSS-SE"/>
    <s v="110436353"/>
    <s v="Mantención Subestación SAG 17"/>
    <s v="LIB. IMOP KKMP PREC TRAT"/>
    <s v="PL"/>
    <s v="Preventivo Sistemático"/>
    <s v="010"/>
    <s v="17.2026"/>
    <s v="MANT &amp; PLANIF SUMINISTRO ELECTRICO"/>
    <s v="CGSSERME"/>
    <n v="1"/>
  </r>
  <r>
    <x v="3"/>
    <x v="3"/>
    <s v="08 INFR SERVIC Y SUMIN DCH"/>
    <x v="3"/>
    <s v="CHSS-SE"/>
    <s v="110436354"/>
    <s v="Mantención Protecciones y Medidas SAG 17"/>
    <s v="LIB. IMOP KKMP PREC TRAT"/>
    <s v="PL"/>
    <s v="Preventivo Sistemático"/>
    <s v="010"/>
    <s v="17.2026"/>
    <s v="MANT &amp; PLANIF SUMINISTRO ELECTRICO"/>
    <s v="CGSSERME"/>
    <n v="1"/>
  </r>
  <r>
    <x v="3"/>
    <x v="3"/>
    <s v="08 INFR SERVIC Y SUMIN DCH"/>
    <x v="3"/>
    <s v="CHSS-SE"/>
    <s v="110453648"/>
    <s v="STN Apoyo con camión alza personas"/>
    <s v="LIB. IMOP KKMP PREC TRAT"/>
    <s v="NP"/>
    <s v="Correctivo No Planificado"/>
    <s v="035"/>
    <s v="17.2026"/>
    <s v="MANT &amp; PLANIF SUMINISTRO ELECTRICO"/>
    <s v="CGSSERME"/>
    <n v="1"/>
  </r>
  <r>
    <x v="3"/>
    <x v="3"/>
    <s v="08 INFR SERVIC Y SUMIN DCH"/>
    <x v="2"/>
    <s v="03 SIST. C.INCENDIO INFRA DCH"/>
    <s v="110345001"/>
    <s v="INSPECCION SISTEMA SAPCI S/E KM6"/>
    <s v="LIB. IMOP KKMP PREC PROG TRAT"/>
    <s v="PL"/>
    <s v="Preventivo Predictivo"/>
    <s v="020"/>
    <s v="16.2026"/>
    <s v="MANT &amp; PLANIF SUMINISTRO ELECTRICO"/>
    <s v="CGSSERME"/>
    <n v="1"/>
  </r>
  <r>
    <x v="3"/>
    <x v="3"/>
    <s v="08 INFR SERVIC Y SUMIN DCH"/>
    <x v="2"/>
    <s v="03 SIST. C.INCENDIO INFRA DCH"/>
    <s v="110345002"/>
    <s v="INSPECCION SISTEMA SAPCI S/E 10"/>
    <s v="LIB. IMOP KKMP PREC PROG TRAT"/>
    <s v="PL"/>
    <s v="Preventivo Predictivo"/>
    <s v="020"/>
    <s v="16.2026"/>
    <s v="MANT &amp; PLANIF SUMINISTRO ELECTRICO"/>
    <s v="CGSSERME"/>
    <n v="1"/>
  </r>
  <r>
    <x v="3"/>
    <x v="3"/>
    <s v="08 INFR SERVIC Y SUMIN DCH"/>
    <x v="2"/>
    <s v="03 SIST. C.INCENDIO INFRA DCH"/>
    <s v="110345005"/>
    <s v="INSPECCION SISTEMA SAPCI S/E CHUQUICAMAT"/>
    <s v="LIB. IMOP KKMP PREC PROG TRAT"/>
    <s v="PL"/>
    <s v="Preventivo Predictivo"/>
    <s v="020"/>
    <s v="16.2026"/>
    <s v="MANT &amp; PLANIF SUMINISTRO ELECTRICO"/>
    <s v="CGSSERME"/>
    <n v="1"/>
  </r>
  <r>
    <x v="3"/>
    <x v="3"/>
    <s v="08 INFR SERVIC Y SUMIN DCH"/>
    <x v="2"/>
    <s v="03 SIST. C.INCENDIO INFRA DCH"/>
    <s v="110345006"/>
    <s v="INSPECCION SISTEMA SAPCI  S/E SUB-A"/>
    <s v="LIB. IMOP KKMP PREC PROG TRAT"/>
    <s v="PL"/>
    <s v="Preventivo Predictivo"/>
    <s v="020"/>
    <s v="16.2026"/>
    <s v="MANT &amp; PLANIF SUMINISTRO ELECTRICO"/>
    <s v="CGSSERME"/>
    <n v="1"/>
  </r>
  <r>
    <x v="4"/>
    <x v="4"/>
    <s v="08 INFR SERVIC Y SUMIN DCH"/>
    <x v="1"/>
    <s v="#"/>
    <s v="110373141"/>
    <s v="CAMBIO DE CORAZA POSTE SH N⁰ 10095854"/>
    <s v="LIB. NOTP IMOP KKMP PREC PROG TRAT"/>
    <s v="ST"/>
    <s v="Reparación"/>
    <s v="060"/>
    <s v="17.2026"/>
    <s v="SERVICIO INTERNO CALDERERIA"/>
    <s v="CGSSTM03"/>
    <n v="1"/>
  </r>
  <r>
    <x v="4"/>
    <x v="4"/>
    <s v="08 INFR SERVIC Y SUMIN DCH"/>
    <x v="1"/>
    <s v="#"/>
    <s v="110387261"/>
    <s v="CAMBIO CORAZA POSTE SH N°10099065"/>
    <s v="LIB. NOTI IMOP JBFI KKMP PREC PROG TBTR"/>
    <s v="ST"/>
    <s v="Reparación"/>
    <s v="060"/>
    <s v="17.2026"/>
    <s v="SERVICIO INTERNO CALDERERIA"/>
    <s v="CGSSTM03"/>
    <n v="1"/>
  </r>
  <r>
    <x v="4"/>
    <x v="4"/>
    <s v="08 INFR SERVIC Y SUMIN DCH"/>
    <x v="1"/>
    <s v="#"/>
    <s v="110387265"/>
    <s v="CAMBIO CORAZA POSTE SH N°10104410"/>
    <s v="LIB. NOTP IMOP KKMP PREC PROG TRAT"/>
    <s v="ST"/>
    <s v="Reparación"/>
    <s v="060"/>
    <s v="17.2026"/>
    <s v="SERVICIO INTERNO CALDERERIA"/>
    <s v="CGSSTM03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20.2026"/>
    <s v="08 INFR SERVIC Y SUMIN DCH"/>
    <x v="0"/>
    <s v="#"/>
    <s v="MANT &amp; PLANIF ELEC CONC MOLIENDA A2 A3"/>
    <s v="CCOAXRME"/>
    <s v="030"/>
    <s v="Emergencia"/>
    <x v="0"/>
    <x v="0"/>
    <s v="110527601"/>
    <s v="REPARACION CTO ENCHUFES GCON"/>
    <s v="NOTI JBFI LIB. NLIQ PWF  RESA"/>
    <s v="NP"/>
    <n v="0"/>
    <d v="2026-05-15T00:00:00"/>
    <d v="2026-05-15T00:00:00"/>
    <s v="#"/>
    <m/>
    <m/>
    <n v="70"/>
    <x v="0"/>
  </r>
  <r>
    <s v="20.2026"/>
    <s v="08 INFR SERVIC Y SUMIN DCH"/>
    <x v="1"/>
    <s v="CDEE"/>
    <s v="MANT &amp; PLANIF SUMINISTRO ELECTRICO"/>
    <s v="CGSSERME"/>
    <s v="010"/>
    <s v="Preventivo Sistemático"/>
    <x v="1"/>
    <x v="1"/>
    <s v="109124261"/>
    <s v="LAVADO DE AISLADORES LINEA 12"/>
    <s v="NOTI CTEC JBFI NLIQ PWF  RESA PLAN"/>
    <s v="PL"/>
    <n v="8"/>
    <d v="2026-05-05T00:00:00"/>
    <d v="2026-05-13T00:00:00"/>
    <s v="97142"/>
    <n v="100"/>
    <n v="22"/>
    <n v="22"/>
    <x v="1"/>
  </r>
  <r>
    <s v="20.2026"/>
    <s v="08 INFR SERVIC Y SUMIN DCH"/>
    <x v="1"/>
    <s v="CDEE"/>
    <s v="MANT &amp; PLANIF SUMINISTRO ELECTRICO"/>
    <s v="CGSSERME"/>
    <s v="010"/>
    <s v="Preventivo Sistemático"/>
    <x v="1"/>
    <x v="1"/>
    <s v="109124261"/>
    <s v="LAVADO DE AISLADORES LINEA 12"/>
    <s v="NOTI CTEC JBFI NLIQ PWF  RESA PLAN"/>
    <s v="PL"/>
    <n v="9"/>
    <d v="2026-05-05T00:00:00"/>
    <d v="2026-05-14T00:00:00"/>
    <s v="97142"/>
    <n v="100"/>
    <n v="22"/>
    <n v="22"/>
    <x v="1"/>
  </r>
  <r>
    <s v="20.2026"/>
    <s v="08 INFR SERVIC Y SUMIN DCH"/>
    <x v="1"/>
    <s v="CDEE"/>
    <s v="MANT &amp; PLANIF SUMINISTRO ELECTRICO"/>
    <s v="CGSSERME"/>
    <s v="010"/>
    <s v="Preventivo Sistemático"/>
    <x v="1"/>
    <x v="1"/>
    <s v="109124261"/>
    <s v="LAVADO DE AISLADORES LINEA 12"/>
    <s v="NOTI CTEC JBFI NLIQ PWF  RESA PLAN"/>
    <s v="PL"/>
    <n v="10"/>
    <d v="2026-05-05T00:00:00"/>
    <d v="2026-05-15T00:00:00"/>
    <s v="97142"/>
    <n v="100"/>
    <n v="20"/>
    <n v="20"/>
    <x v="1"/>
  </r>
  <r>
    <s v="20.2026"/>
    <s v="08 INFR SERVIC Y SUMIN DCH"/>
    <x v="1"/>
    <s v="CDEE"/>
    <s v="MANT &amp; PLANIF SUMINISTRO ELECTRICO"/>
    <s v="CGSSERME"/>
    <s v="010"/>
    <s v="Preventivo Sistemático"/>
    <x v="1"/>
    <x v="1"/>
    <s v="110443469"/>
    <s v="INSPECCION MT CHANCADO PRIMARIO PTMP"/>
    <s v="NOTI CTEC JBFI NLIQ PWF  RESA PLAN"/>
    <s v="PL"/>
    <n v="11"/>
    <d v="2026-05-04T00:00:00"/>
    <d v="2026-05-15T00:00:00"/>
    <s v="10371"/>
    <n v="100"/>
    <n v="44"/>
    <n v="44"/>
    <x v="1"/>
  </r>
  <r>
    <s v="20.2026"/>
    <s v="08 INFR SERVIC Y SUMIN DCH"/>
    <x v="1"/>
    <s v="CDEE"/>
    <s v="MANT &amp; PLANIF SUMINISTRO ELECTRICO"/>
    <s v="CGSSERME"/>
    <s v="020"/>
    <s v="Preventivo Predictivo"/>
    <x v="1"/>
    <x v="1"/>
    <s v="110330383"/>
    <s v="Insp. 4M S/E Dist. 13.8 kV Refinería"/>
    <s v="NOTI CTEC JBFI NLIQ PWF  RESA PLAN"/>
    <s v="PL"/>
    <n v="14"/>
    <d v="2026-04-27T00:00:00"/>
    <d v="2026-05-11T00:00:00"/>
    <s v="35977"/>
    <n v="100"/>
    <n v="44"/>
    <n v="44"/>
    <x v="1"/>
  </r>
  <r>
    <s v="20.2026"/>
    <s v="08 INFR SERVIC Y SUMIN DCH"/>
    <x v="1"/>
    <s v="CDEE"/>
    <s v="MANT &amp; PLANIF SUMINISTRO ELECTRICO"/>
    <s v="CGSSERME"/>
    <s v="020"/>
    <s v="Preventivo Predictivo"/>
    <x v="1"/>
    <x v="1"/>
    <s v="110459257"/>
    <s v="Insp. 4M S/E Dist. 13.8 kV Fundición"/>
    <s v="NOTI CTEC JBFI NLIQ PWF PLAN"/>
    <s v="PL"/>
    <n v="15"/>
    <d v="2026-04-27T00:00:00"/>
    <d v="2026-05-12T00:00:00"/>
    <s v="35977"/>
    <n v="100"/>
    <n v="44"/>
    <n v="44"/>
    <x v="1"/>
  </r>
  <r>
    <s v="20.2026"/>
    <s v="08 INFR SERVIC Y SUMIN DCH"/>
    <x v="1"/>
    <s v="CDEE"/>
    <s v="MANT &amp; PLANIF SUMINISTRO ELECTRICO"/>
    <s v="CGSSERME"/>
    <s v="025"/>
    <s v="Correctivo Planificado"/>
    <x v="1"/>
    <x v="1"/>
    <s v="110377744"/>
    <s v="Revis. y repar. Comp aire 52HT18 S/E A"/>
    <s v="NOTI CTEC JBFI NLIQ PWF  RESA PLAN"/>
    <s v="PL"/>
    <n v="10"/>
    <d v="2026-05-06T00:00:00"/>
    <d v="2026-05-16T00:00:00"/>
    <s v="26780"/>
    <n v="100"/>
    <n v="44"/>
    <n v="44"/>
    <x v="1"/>
  </r>
  <r>
    <s v="20.2026"/>
    <s v="08 INFR SERVIC Y SUMIN DCH"/>
    <x v="1"/>
    <s v="CDEE"/>
    <s v="MANT &amp; PLANIF SUMINISTRO ELECTRICO"/>
    <s v="CGSSERME"/>
    <s v="025"/>
    <s v="Correctivo Planificado"/>
    <x v="1"/>
    <x v="1"/>
    <s v="110474160"/>
    <s v="EJE. CAMBIO RASA CELDA K13 S/E 10A"/>
    <s v="NOTI CTEC JBFI NLIQ PWF  RESA PLAN"/>
    <s v="PL"/>
    <n v="8"/>
    <d v="2026-05-06T00:00:00"/>
    <d v="2026-05-14T00:00:00"/>
    <s v="56673"/>
    <n v="100"/>
    <n v="101"/>
    <n v="101"/>
    <x v="1"/>
  </r>
  <r>
    <s v="20.2026"/>
    <s v="08 INFR SERVIC Y SUMIN DCH"/>
    <x v="1"/>
    <s v="CDEE"/>
    <s v="MANT &amp; PLANIF SUMINISTRO ELECTRICO"/>
    <s v="CGSSERME"/>
    <s v="025"/>
    <s v="Correctivo Planificado"/>
    <x v="1"/>
    <x v="1"/>
    <s v="110496644"/>
    <s v="STN MTTO SIST RESPALDO S/E PRINCIPAL CAL"/>
    <s v="NOTI CTEC JBFI NLIQ PWF  RESA PLAN"/>
    <s v="PL"/>
    <n v="9"/>
    <d v="2026-05-05T00:00:00"/>
    <d v="2026-05-14T00:00:00"/>
    <s v="98949"/>
    <n v="100"/>
    <n v="15"/>
    <n v="15"/>
    <x v="1"/>
  </r>
  <r>
    <s v="20.2026"/>
    <s v="08 INFR SERVIC Y SUMIN DCH"/>
    <x v="1"/>
    <s v="CDEE"/>
    <s v="MANT &amp; PLANIF SUMINISTRO ELECTRICO"/>
    <s v="CGSSERME"/>
    <s v="030"/>
    <s v="Emergencia"/>
    <x v="1"/>
    <x v="1"/>
    <s v="110518476"/>
    <s v="Med. Desc. parciales Enlace T7-123 SE 10"/>
    <s v="NOTI CTEC JBFI NLIQ PWF  RESA"/>
    <s v="NP"/>
    <n v="0"/>
    <d v="2026-05-12T00:00:00"/>
    <d v="2026-05-12T00:00:00"/>
    <s v="#"/>
    <m/>
    <m/>
    <n v="4"/>
    <x v="0"/>
  </r>
  <r>
    <s v="20.2026"/>
    <s v="08 INFR SERVIC Y SUMIN DCH"/>
    <x v="1"/>
    <s v="CHSS-SE"/>
    <s v="MANT &amp; PLANIF SUMINISTRO ELECTRICO"/>
    <s v="CGSSERME"/>
    <s v="010"/>
    <s v="Preventivo Sistemático"/>
    <x v="1"/>
    <x v="1"/>
    <s v="110439645"/>
    <s v="Inspección 2M S/E Sopladores"/>
    <s v="NOTI CTEC JBFI NLIQ PWF  RESA PLAN"/>
    <s v="PL"/>
    <n v="18"/>
    <d v="2026-04-27T00:00:00"/>
    <d v="2026-05-15T00:00:00"/>
    <s v="56856"/>
    <n v="100"/>
    <n v="24"/>
    <n v="24"/>
    <x v="1"/>
  </r>
  <r>
    <s v="20.2026"/>
    <s v="08 INFR SERVIC Y SUMIN DCH"/>
    <x v="1"/>
    <s v="CHSS-SE"/>
    <s v="MANT &amp; PLANIF SUMINISTRO ELECTRICO"/>
    <s v="CGSSERME"/>
    <s v="010"/>
    <s v="Preventivo Sistemático"/>
    <x v="1"/>
    <x v="1"/>
    <s v="110439646"/>
    <s v="Inspección 2M S/E K-1"/>
    <s v="NOTI CTEC JBFI NLIQ PWF  RESA PLAN"/>
    <s v="PL"/>
    <n v="19"/>
    <d v="2026-04-27T00:00:00"/>
    <d v="2026-05-16T00:00:00"/>
    <s v="56856"/>
    <n v="100"/>
    <n v="24"/>
    <n v="24"/>
    <x v="1"/>
  </r>
  <r>
    <s v="20.2026"/>
    <s v="08 INFR SERVIC Y SUMIN DCH"/>
    <x v="1"/>
    <s v="CHSS-SE"/>
    <s v="MANT &amp; PLANIF SUMINISTRO ELECTRICO"/>
    <s v="CGSSERME"/>
    <s v="010"/>
    <s v="Preventivo Sistemático"/>
    <x v="1"/>
    <x v="1"/>
    <s v="110439647"/>
    <s v="Termografía 2M S/E Sopladores"/>
    <s v="NOTI CTEC JBFI NLIQ PWF  RESA PLAN"/>
    <s v="PL"/>
    <n v="18"/>
    <d v="2026-04-27T00:00:00"/>
    <d v="2026-05-15T00:00:00"/>
    <s v="25012"/>
    <n v="100"/>
    <n v="6"/>
    <n v="6"/>
    <x v="1"/>
  </r>
  <r>
    <s v="20.2026"/>
    <s v="08 INFR SERVIC Y SUMIN DCH"/>
    <x v="1"/>
    <s v="CHSS-SE"/>
    <s v="MANT &amp; PLANIF SUMINISTRO ELECTRICO"/>
    <s v="CGSSERME"/>
    <s v="010"/>
    <s v="Preventivo Sistemático"/>
    <x v="1"/>
    <x v="1"/>
    <s v="110439648"/>
    <s v="Termografía 2M S/E K-1"/>
    <s v="NOTI CTEC JBFI NLIQ PWF  RESA PLAN"/>
    <s v="PL"/>
    <n v="19"/>
    <d v="2026-04-27T00:00:00"/>
    <d v="2026-05-16T00:00:00"/>
    <s v="25012"/>
    <n v="100"/>
    <n v="6"/>
    <n v="6"/>
    <x v="1"/>
  </r>
  <r>
    <s v="20.2026"/>
    <s v="08 INFR SERVIC Y SUMIN DCH"/>
    <x v="1"/>
    <s v="CHSS-SE"/>
    <s v="MANT &amp; PLANIF SUMINISTRO ELECTRICO"/>
    <s v="CGSSERME"/>
    <s v="020"/>
    <s v="Preventivo Predictivo"/>
    <x v="1"/>
    <x v="1"/>
    <s v="110427496"/>
    <s v="MED.DESCARGAS PARCIALES S/E TCHITACk TR2"/>
    <s v="NOTI CTEC JBFI NLIQ PWF  RESA PLAN"/>
    <s v="PL"/>
    <n v="13"/>
    <d v="2026-05-04T00:00:00"/>
    <d v="2026-05-17T00:00:00"/>
    <s v="18845"/>
    <n v="100"/>
    <n v="4"/>
    <n v="4"/>
    <x v="1"/>
  </r>
  <r>
    <s v="20.2026"/>
    <s v="08 INFR SERVIC Y SUMIN DCH"/>
    <x v="1"/>
    <s v="CHSS-SE"/>
    <s v="MANT &amp; PLANIF SUMINISTRO ELECTRICO"/>
    <s v="CGSSERME"/>
    <s v="020"/>
    <s v="Preventivo Predictivo"/>
    <x v="1"/>
    <x v="1"/>
    <s v="110443695"/>
    <s v="MEDICIÓN DESCARGAS PARCIALES ATR2"/>
    <s v="NOTI CTEC JBFI NLIQ PWF  RESA PLAN"/>
    <s v="PL"/>
    <n v="13"/>
    <d v="2026-05-04T00:00:00"/>
    <d v="2026-05-17T00:00:00"/>
    <s v="18845"/>
    <n v="100"/>
    <n v="9"/>
    <n v="9"/>
    <x v="1"/>
  </r>
  <r>
    <s v="20.2026"/>
    <s v="08 INFR SERVIC Y SUMIN DCH"/>
    <x v="1"/>
    <s v="CHSS-SE"/>
    <s v="MANT &amp; PLANIF SUMINISTRO ELECTRICO"/>
    <s v="CGSSERME"/>
    <s v="020"/>
    <s v="Preventivo Predictivo"/>
    <x v="1"/>
    <x v="1"/>
    <s v="110473175"/>
    <s v="TOMA MUESTRA ACEITE S/E CHUQUICAMAT ATR1"/>
    <s v="NOTI CTEC JBFI NLIQ PWF  RESA PLAN"/>
    <s v="PL"/>
    <n v="19"/>
    <d v="2026-04-28T00:00:00"/>
    <d v="2026-05-17T00:00:00"/>
    <s v="98013"/>
    <n v="100"/>
    <n v="4"/>
    <n v="4"/>
    <x v="1"/>
  </r>
  <r>
    <s v="20.2026"/>
    <s v="08 INFR SERVIC Y SUMIN DCH"/>
    <x v="1"/>
    <s v="CHSS-SE"/>
    <s v="MANT &amp; PLANIF SUMINISTRO ELECTRICO"/>
    <s v="CGSSERME"/>
    <s v="020"/>
    <s v="Preventivo Predictivo"/>
    <x v="1"/>
    <x v="1"/>
    <s v="110486153"/>
    <s v="TOMA MUESTRA ACEITE S/E TCHITACK TR2"/>
    <s v="NOTI CTEC JBFI NLIQ PWF  RESA PLAN"/>
    <s v="PL"/>
    <n v="13"/>
    <d v="2026-05-04T00:00:00"/>
    <d v="2026-05-17T00:00:00"/>
    <s v="98013"/>
    <n v="100"/>
    <n v="4"/>
    <n v="4"/>
    <x v="1"/>
  </r>
  <r>
    <s v="20.2026"/>
    <s v="08 INFR SERVIC Y SUMIN DCH"/>
    <x v="1"/>
    <s v="CHSS-SE"/>
    <s v="MANT &amp; PLANIF SUMINISTRO ELECTRICO"/>
    <s v="CGSSERME"/>
    <s v="020"/>
    <s v="Preventivo Predictivo"/>
    <x v="1"/>
    <x v="1"/>
    <s v="110494994"/>
    <s v="TOMA MUESTRA ACEITE S/E TCHITACK TR1"/>
    <s v="NOTI CTEC JBFI NLIQ PWF  RESA PLAN"/>
    <s v="PL"/>
    <n v="11"/>
    <d v="2026-05-06T00:00:00"/>
    <d v="2026-05-17T00:00:00"/>
    <s v="98013"/>
    <n v="100"/>
    <n v="4"/>
    <n v="4"/>
    <x v="1"/>
  </r>
  <r>
    <s v="20.2026"/>
    <s v="08 INFR SERVIC Y SUMIN DCH"/>
    <x v="1"/>
    <s v="CHSS-SE"/>
    <s v="MANT &amp; PLANIF SUMINISTRO ELECTRICO"/>
    <s v="CGSSERME"/>
    <s v="025"/>
    <s v="Correctivo Planificado"/>
    <x v="1"/>
    <x v="1"/>
    <s v="110304324"/>
    <s v="Toma Mstra Aceite EquCrít 2°Sem T7A SE10"/>
    <s v="NOTI CTEC JBFI NLIQ PWF  RESA PLAN"/>
    <s v="PL"/>
    <n v="11"/>
    <d v="2026-05-06T00:00:00"/>
    <d v="2026-05-17T00:00:00"/>
    <s v="75545"/>
    <n v="100"/>
    <n v="22"/>
    <n v="22"/>
    <x v="1"/>
  </r>
  <r>
    <s v="20.2026"/>
    <s v="08 INFR SERVIC Y SUMIN DCH"/>
    <x v="1"/>
    <s v="CHSS-SE"/>
    <s v="MANT &amp; PLANIF SUMINISTRO ELECTRICO"/>
    <s v="CGSSERME"/>
    <s v="035"/>
    <s v="Correctivo No Planificado"/>
    <x v="1"/>
    <x v="1"/>
    <s v="110526034"/>
    <s v="RELLENO SF6 L12 GIS 100 KV SE CHUQUI"/>
    <s v="NOTI CTEC JBFI NLIQ PWF  RESA"/>
    <s v="NP"/>
    <n v="-1"/>
    <d v="2026-05-15T00:00:00"/>
    <d v="2026-05-14T00:00:00"/>
    <s v="#"/>
    <m/>
    <m/>
    <n v="6"/>
    <x v="0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288268"/>
    <s v="MRT 12S MEC MTTO CALDERA N°2"/>
    <s v="NOTI CTEC JBFI NLIQ PWF  RESA PLAN"/>
    <s v="PL"/>
    <n v="10"/>
    <d v="2026-05-03T00:00:00"/>
    <d v="2026-05-13T00:00:00"/>
    <s v="99105"/>
    <n v="100"/>
    <n v="1"/>
    <n v="1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288268"/>
    <s v="MRT 12S MEC MTTO CALDERA N°2"/>
    <s v="NOTI CTEC JBFI NLIQ PWF  RESA PLAN"/>
    <s v="PL"/>
    <n v="14"/>
    <d v="2026-05-03T00:00:00"/>
    <d v="2026-05-17T00:00:00"/>
    <s v="99105"/>
    <n v="100"/>
    <n v="1.2"/>
    <n v="1.2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288268"/>
    <s v="MRT 12S MEC MTTO CALDERA N°2"/>
    <s v="NOTI CTEC JBFI NLIQ PWF PLAN"/>
    <s v="PL"/>
    <n v="14"/>
    <d v="2026-05-03T00:00:00"/>
    <d v="2026-05-17T00:00:00"/>
    <s v="99105"/>
    <n v="100"/>
    <n v="13.5"/>
    <n v="13.5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06270"/>
    <s v="MRT 4S MEC TOMA MUESTRA ACEITE S20"/>
    <s v="NOTI CTEC JBFI NLIQ PWF  RESA PLAN"/>
    <s v="PL"/>
    <n v="13"/>
    <d v="2026-05-03T00:00:00"/>
    <d v="2026-05-16T00:00:00"/>
    <s v="92589"/>
    <n v="100"/>
    <n v="2.6"/>
    <n v="2.6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06276"/>
    <s v="MRT 4S LIMPIEZA CANALA EXTERIOR"/>
    <s v="NOTI CTEC JBFI NLIQ PWF  RESA PLAN"/>
    <s v="PL"/>
    <n v="11"/>
    <d v="2026-05-03T00:00:00"/>
    <d v="2026-05-14T00:00:00"/>
    <s v="98139"/>
    <n v="100"/>
    <n v="12"/>
    <n v="12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27749"/>
    <s v="MRT 4S ELEC MTTO UPS N°3"/>
    <s v="NOTI CTEC JBFI NLIQ PWF PLAN"/>
    <s v="PL"/>
    <n v="10"/>
    <d v="2026-05-03T00:00:00"/>
    <d v="2026-05-13T00:00:00"/>
    <s v="98494"/>
    <n v="100"/>
    <n v="6"/>
    <n v="6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27755"/>
    <s v="MRT 4S MTTO MEC BOMBA 2B"/>
    <s v="NOTI CTEC JBFI NLIQ PWF  RESA PLAN"/>
    <s v="PL"/>
    <n v="11"/>
    <d v="2026-05-03T00:00:00"/>
    <d v="2026-05-14T00:00:00"/>
    <s v="98030"/>
    <n v="100"/>
    <n v="4"/>
    <n v="4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27755"/>
    <s v="MRT 4S MTTO MEC BOMBA 2B"/>
    <s v="NOTI CTEC JBFI NLIQ PWF PLAN"/>
    <s v="PL"/>
    <n v="11"/>
    <d v="2026-05-03T00:00:00"/>
    <d v="2026-05-14T00:00:00"/>
    <s v="98030"/>
    <n v="100"/>
    <n v="1"/>
    <n v="1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32882"/>
    <s v="MRT 1S MEC LIMPIEZA MOLINO HARDINGE 1"/>
    <s v="NOTI CTEC JBFI NLIQ PWF  RESA PLAN"/>
    <s v="PL"/>
    <n v="8"/>
    <d v="2026-05-03T00:00:00"/>
    <d v="2026-05-11T00:00:00"/>
    <s v="49861"/>
    <n v="100"/>
    <n v="9.4"/>
    <n v="9.4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32883"/>
    <s v="MRT 1S MEC LIMPIEZA MOLINO HARDINGE 2"/>
    <s v="NOTI CTEC JBFI NLIQ PWF  RESA PLAN"/>
    <s v="PL"/>
    <n v="9"/>
    <d v="2026-05-03T00:00:00"/>
    <d v="2026-05-12T00:00:00"/>
    <s v="49861"/>
    <n v="100"/>
    <n v="9"/>
    <n v="9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32884"/>
    <s v="MRT 1S MEC LIMPIEZA MOLINO TORRE"/>
    <s v="NOTI CTEC JBFI NLIQ PWF  RESA PLAN"/>
    <s v="PL"/>
    <n v="10"/>
    <d v="2026-05-03T00:00:00"/>
    <d v="2026-05-13T00:00:00"/>
    <s v="49861"/>
    <n v="100"/>
    <n v="15"/>
    <n v="15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32884"/>
    <s v="MRT 1S MEC LIMPIEZA MOLINO TORRE"/>
    <s v="NOTI CTEC JBFI NLIQ PWF PLAN"/>
    <s v="PL"/>
    <n v="10"/>
    <d v="2026-05-03T00:00:00"/>
    <d v="2026-05-13T00:00:00"/>
    <s v="49861"/>
    <n v="100"/>
    <n v="1"/>
    <n v="1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32887"/>
    <s v="MRT 1S MEC LIMPIEZA AEROVENTILADORES"/>
    <s v="NOTI CTEC JBFI NLIQ PWF  RESA PLAN"/>
    <s v="PL"/>
    <n v="12"/>
    <d v="2026-05-03T00:00:00"/>
    <d v="2026-05-15T00:00:00"/>
    <s v="92335"/>
    <n v="100"/>
    <n v="6"/>
    <n v="6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32887"/>
    <s v="MRT 1S MEC LIMPIEZA AEROVENTILADORES"/>
    <s v="NOTI CTEC JBFI NLIQ PWF PLAN"/>
    <s v="PL"/>
    <n v="12"/>
    <d v="2026-05-03T00:00:00"/>
    <d v="2026-05-15T00:00:00"/>
    <s v="92335"/>
    <n v="100"/>
    <n v="2"/>
    <n v="2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32892"/>
    <s v="MRT 1S MTTO CORREA 132"/>
    <s v="NOTI CTEC JBFI NLIQ PWF  RESA PLAN"/>
    <s v="PL"/>
    <n v="8"/>
    <d v="2026-05-03T00:00:00"/>
    <d v="2026-05-11T00:00:00"/>
    <s v="98137"/>
    <n v="100"/>
    <n v="20"/>
    <n v="20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32893"/>
    <s v="MRT 1S MTTO CORREA 129"/>
    <s v="NOTI CTEC JBFI NLIQ PWF  RESA PLAN"/>
    <s v="PL"/>
    <n v="9"/>
    <d v="2026-05-03T00:00:00"/>
    <d v="2026-05-12T00:00:00"/>
    <s v="98137"/>
    <n v="100"/>
    <n v="20"/>
    <n v="20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32896"/>
    <s v="MRT 1S LIMPIEZA FILTRO DE MANGA"/>
    <s v="NOTI CTEC JBFI NLIQ PWF  RESA PLAN"/>
    <s v="PL"/>
    <n v="8"/>
    <d v="2026-05-03T00:00:00"/>
    <d v="2026-05-11T00:00:00"/>
    <s v="98306"/>
    <n v="100"/>
    <n v="6"/>
    <n v="6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47996"/>
    <s v="MRT 3S MEC MTTO ANÁLISIS VIBRACIONES PHC"/>
    <s v="NOTI JBFI LIB. NLIQ PLAN PWF  RESA"/>
    <s v="PL"/>
    <n v="9"/>
    <d v="2026-05-03T00:00:00"/>
    <d v="2026-05-12T00:00:00"/>
    <s v="97235"/>
    <n v="100"/>
    <n v="3"/>
    <n v="3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47996"/>
    <s v="MRT 3S MEC MTTO ANÁLISIS VIBRACIONES PHC"/>
    <s v="NOTI JBFI LIB. NLIQ PLAN PWF  RESA"/>
    <s v="PL"/>
    <n v="10"/>
    <d v="2026-05-03T00:00:00"/>
    <d v="2026-05-13T00:00:00"/>
    <s v="97235"/>
    <n v="100"/>
    <n v="4"/>
    <n v="4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47996"/>
    <s v="MRT 3S MEC MTTO ANÁLISIS VIBRACIONES PHC"/>
    <s v="NOTI JBFI LIB. NLIQ PLAN PWF  RESA"/>
    <s v="PL"/>
    <n v="11"/>
    <d v="2026-05-03T00:00:00"/>
    <d v="2026-05-14T00:00:00"/>
    <s v="97235"/>
    <n v="100"/>
    <n v="4"/>
    <n v="4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47997"/>
    <s v="MRT 4S MTTO MEC CORREA 04"/>
    <s v="NOTI CTEC JBFI NLIQ PWF  RESA PLAN"/>
    <s v="PL"/>
    <n v="10"/>
    <d v="2026-05-03T00:00:00"/>
    <d v="2026-05-13T00:00:00"/>
    <s v="98028"/>
    <n v="100"/>
    <n v="17"/>
    <n v="17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47997"/>
    <s v="MRT 4S MTTO MEC CORREA 04"/>
    <s v="NOTI CTEC JBFI NLIQ PWF PLAN"/>
    <s v="PL"/>
    <n v="10"/>
    <d v="2026-05-03T00:00:00"/>
    <d v="2026-05-13T00:00:00"/>
    <s v="98028"/>
    <n v="100"/>
    <n v="3"/>
    <n v="3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47998"/>
    <s v="MRT 4S MTTO MEC CORREA 129A"/>
    <s v="NOTI CTEC JBFI NLIQ PWF  RESA PLAN"/>
    <s v="PL"/>
    <n v="10"/>
    <d v="2026-05-03T00:00:00"/>
    <d v="2026-05-13T00:00:00"/>
    <s v="98028"/>
    <n v="100"/>
    <n v="17"/>
    <n v="17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47998"/>
    <s v="MRT 4S MTTO MEC CORREA 129A"/>
    <s v="NOTI CTEC JBFI NLIQ PWF PLAN"/>
    <s v="PL"/>
    <n v="10"/>
    <d v="2026-05-03T00:00:00"/>
    <d v="2026-05-13T00:00:00"/>
    <s v="98028"/>
    <n v="100"/>
    <n v="3"/>
    <n v="3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47999"/>
    <s v="MRT 4S MTTO MEC CAJON BOMBAS MT"/>
    <s v="NOTI CTEC JBFI NLIQ PWF  RESA PLAN"/>
    <s v="PL"/>
    <n v="9"/>
    <d v="2026-05-03T00:00:00"/>
    <d v="2026-05-12T00:00:00"/>
    <s v="98029"/>
    <n v="100"/>
    <n v="15"/>
    <n v="15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47999"/>
    <s v="MRT 4S MTTO MEC CAJON BOMBAS MT"/>
    <s v="NOTI CTEC JBFI NLIQ PWF PLAN"/>
    <s v="PL"/>
    <n v="9"/>
    <d v="2026-05-03T00:00:00"/>
    <d v="2026-05-12T00:00:00"/>
    <s v="98029"/>
    <n v="100"/>
    <n v="2"/>
    <n v="2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68682"/>
    <s v="MRT 4S MEC INSP SOPLADOR N°6"/>
    <s v="NOTI CTEC JBFI NLIQ PWF  RESA PLAN"/>
    <s v="PL"/>
    <n v="10"/>
    <d v="2026-05-03T00:00:00"/>
    <d v="2026-05-13T00:00:00"/>
    <s v="96563"/>
    <n v="100"/>
    <n v="15"/>
    <n v="15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68682"/>
    <s v="MRT 4S MEC INSP SOPLADOR N°6"/>
    <s v="NOTI CTEC JBFI NLIQ PWF PLAN"/>
    <s v="PL"/>
    <n v="10"/>
    <d v="2026-05-03T00:00:00"/>
    <d v="2026-05-13T00:00:00"/>
    <s v="96563"/>
    <n v="100"/>
    <n v="15.4"/>
    <n v="15.4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68682"/>
    <s v="MRT 4S MEC INSP SOPLADOR N°6"/>
    <s v="NOTI CTEC JBFI NLIQ PWF PLAN"/>
    <s v="PL"/>
    <n v="11"/>
    <d v="2026-05-03T00:00:00"/>
    <d v="2026-05-14T00:00:00"/>
    <s v="96563"/>
    <n v="100"/>
    <n v="11.8"/>
    <n v="11.8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68794"/>
    <s v="MRT 2S LIMPIEZA FLEXIBILIDAD OPERATIVA"/>
    <s v="NOTI CTEC JBFI NLIQ PWF  RESA PLAN"/>
    <s v="PL"/>
    <n v="10"/>
    <d v="2026-05-03T00:00:00"/>
    <d v="2026-05-13T00:00:00"/>
    <s v="98140"/>
    <n v="100"/>
    <n v="14"/>
    <n v="14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78068"/>
    <s v="MRT 6M MTTO COMPRESOR N°20"/>
    <s v="NOTI JBFI LIB. NLIQ PLAN PWF"/>
    <s v="PL"/>
    <n v="12"/>
    <d v="2026-05-03T00:00:00"/>
    <d v="2026-05-15T00:00:00"/>
    <s v="35354"/>
    <n v="100"/>
    <n v="4"/>
    <n v="4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78068"/>
    <s v="MRT 6M MTTO COMPRESOR N°20"/>
    <s v="NOTI JBFI LIB. NLIQ PLAN PWF  RESA"/>
    <s v="PL"/>
    <n v="8"/>
    <d v="2026-05-03T00:00:00"/>
    <d v="2026-05-11T00:00:00"/>
    <s v="35354"/>
    <n v="100"/>
    <n v="2"/>
    <n v="2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478068"/>
    <s v="MRT 6M MTTO COMPRESOR N°20"/>
    <s v="NOTI JBFI LIB. NLIQ PLAN PWF  RESA"/>
    <s v="PL"/>
    <n v="9"/>
    <d v="2026-05-03T00:00:00"/>
    <d v="2026-05-12T00:00:00"/>
    <s v="35354"/>
    <n v="100"/>
    <n v="29"/>
    <n v="29"/>
    <x v="1"/>
  </r>
  <r>
    <s v="20.2026"/>
    <s v="08 INFR SERVIC Y SUMIN DCH"/>
    <x v="2"/>
    <s v="CHSS-SU"/>
    <s v="MANT &amp; PLANIF CENTRAL TERMICA SULFUROS"/>
    <s v="CGSTMRMM"/>
    <s v="010"/>
    <s v="Preventivo Sistemático"/>
    <x v="2"/>
    <x v="2"/>
    <s v="110500509"/>
    <s v="MRT 6M MTTO COMPRESOR N°29"/>
    <s v="NOTI JBFI LIB. NLIQ PLAN PWF  RESA"/>
    <s v="PL"/>
    <n v="11"/>
    <d v="2026-05-06T00:00:00"/>
    <d v="2026-05-17T00:00:00"/>
    <s v="35354"/>
    <n v="100"/>
    <n v="4.5"/>
    <n v="4.5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037716"/>
    <s v="Cambio de calefactor de aceite Comp N°2"/>
    <s v="NOTI JBFI LIB. NLIQ PLAN PWF"/>
    <s v="PL"/>
    <n v="473"/>
    <d v="2025-01-23T00:00:00"/>
    <d v="2026-05-11T00:00:00"/>
    <s v="40779"/>
    <n v="100"/>
    <n v="5"/>
    <n v="5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037716"/>
    <s v="Cambio de calefactor de aceite Comp N°2"/>
    <s v="NOTI JBFI LIB. NLIQ PLAN PWF  RESA"/>
    <s v="PL"/>
    <n v="474"/>
    <d v="2025-01-23T00:00:00"/>
    <d v="2026-05-12T00:00:00"/>
    <s v="40779"/>
    <n v="100"/>
    <n v="4"/>
    <n v="4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098394"/>
    <s v="Cambio filtros de admisión C-1"/>
    <s v="NOTI JBFI LIB. NLIQ PLAN PWF"/>
    <s v="PL"/>
    <n v="453"/>
    <d v="2025-02-12T00:00:00"/>
    <d v="2026-05-11T00:00:00"/>
    <s v="40779"/>
    <n v="100"/>
    <n v="1"/>
    <n v="1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098394"/>
    <s v="Cambio filtros de admisión C-1"/>
    <s v="NOTI JBFI LIB. NLIQ PLAN PWF  RESA"/>
    <s v="PL"/>
    <n v="455"/>
    <d v="2025-02-12T00:00:00"/>
    <d v="2026-05-13T00:00:00"/>
    <s v="40779"/>
    <n v="100"/>
    <n v="8"/>
    <n v="8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098395"/>
    <s v="Cambio filtros de admisión C-2"/>
    <s v="NOTI JBFI LIB. NLIQ PLAN PWF"/>
    <s v="PL"/>
    <n v="454"/>
    <d v="2025-02-12T00:00:00"/>
    <d v="2026-05-12T00:00:00"/>
    <s v="40779"/>
    <n v="100"/>
    <n v="1"/>
    <n v="1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098395"/>
    <s v="Cambio filtros de admisión C-2"/>
    <s v="NOTI JBFI LIB. NLIQ PLAN PWF  RESA"/>
    <s v="PL"/>
    <n v="456"/>
    <d v="2025-02-12T00:00:00"/>
    <d v="2026-05-14T00:00:00"/>
    <s v="40779"/>
    <n v="100"/>
    <n v="8"/>
    <n v="8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171579"/>
    <s v="Cambio de bba enfriadera C-1 CTS"/>
    <s v="NOTI JBFI LIB. NLIQ PLAN PWF"/>
    <s v="PL"/>
    <n v="432"/>
    <d v="2025-03-06T00:00:00"/>
    <d v="2026-05-12T00:00:00"/>
    <s v="40779"/>
    <n v="100"/>
    <n v="1"/>
    <n v="1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171579"/>
    <s v="Cambio de bba enfriadera C-1 CTS"/>
    <s v="NOTI JBFI LIB. NLIQ PLAN PWF  RESA"/>
    <s v="PL"/>
    <n v="435"/>
    <d v="2025-03-06T00:00:00"/>
    <d v="2026-05-15T00:00:00"/>
    <s v="40779"/>
    <n v="100"/>
    <n v="16"/>
    <n v="16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229554"/>
    <s v="Normalización de líneas agua/aire/aceite"/>
    <s v="NOTI JBFI LIB. NLIQ PLAN PWF"/>
    <s v="PL"/>
    <n v="412"/>
    <d v="2025-03-27T00:00:00"/>
    <d v="2026-05-13T00:00:00"/>
    <s v="40779"/>
    <n v="100"/>
    <n v="1"/>
    <n v="1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229554"/>
    <s v="Normalización de líneas agua/aire/aceite"/>
    <s v="NOTI JBFI LIB. NLIQ PLAN PWF  RESA"/>
    <s v="PL"/>
    <n v="415"/>
    <d v="2025-03-27T00:00:00"/>
    <d v="2026-05-16T00:00:00"/>
    <s v="40779"/>
    <n v="100"/>
    <n v="24"/>
    <n v="24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466750"/>
    <s v="Cambio vvla venteo/filtros C-1"/>
    <s v="NOTI JBFI LIB. NLIQ PLAN PWF"/>
    <s v="PL"/>
    <n v="336"/>
    <d v="2025-06-11T00:00:00"/>
    <d v="2026-05-13T00:00:00"/>
    <s v="#"/>
    <n v="0"/>
    <n v="0"/>
    <n v="2"/>
    <x v="2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466750"/>
    <s v="Cambio vvla venteo/filtros C-1"/>
    <s v="NOTI JBFI LIB. NLIQ PLAN PWF  RESA"/>
    <s v="PL"/>
    <n v="334"/>
    <d v="2025-06-11T00:00:00"/>
    <d v="2026-05-11T00:00:00"/>
    <s v="#"/>
    <n v="0"/>
    <n v="0"/>
    <n v="12"/>
    <x v="2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526314"/>
    <s v="Normalización líneas AG/VA/AI C-90 psi.}"/>
    <s v="NOTI JBFI LIB. NLIQ PLAN PWF"/>
    <s v="PL"/>
    <n v="318"/>
    <d v="2025-06-30T00:00:00"/>
    <d v="2026-05-14T00:00:00"/>
    <s v="40779"/>
    <n v="100"/>
    <n v="5"/>
    <n v="5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526314"/>
    <s v="Normalización líneas AG/VA/AI C-90 psi.}"/>
    <s v="NOTI JBFI LIB. NLIQ PLAN PWF  RESA"/>
    <s v="PL"/>
    <n v="316"/>
    <d v="2025-06-30T00:00:00"/>
    <d v="2026-05-12T00:00:00"/>
    <s v="40779"/>
    <n v="100"/>
    <n v="24"/>
    <n v="24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527858"/>
    <s v="Normalización línea hidrociclón C-24."/>
    <s v="NOTI JBFI LIB. NLIQ PLAN PWF"/>
    <s v="PL"/>
    <n v="319"/>
    <d v="2025-06-30T00:00:00"/>
    <d v="2026-05-15T00:00:00"/>
    <s v="40779"/>
    <n v="100"/>
    <n v="1"/>
    <n v="1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527858"/>
    <s v="Normalización línea hidrociclón C-24."/>
    <s v="NOTI JBFI LIB. NLIQ PLAN PWF  RESA"/>
    <s v="PL"/>
    <n v="318"/>
    <d v="2025-06-30T00:00:00"/>
    <d v="2026-05-14T00:00:00"/>
    <s v="40779"/>
    <n v="100"/>
    <n v="24"/>
    <n v="24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671213"/>
    <s v="Mejorar sistema filtros de admisión CTR"/>
    <s v="NOTI JBFI LIB. NLIQ PLAN PWF"/>
    <s v="PL"/>
    <n v="232"/>
    <d v="2025-09-25T00:00:00"/>
    <d v="2026-05-15T00:00:00"/>
    <s v="40779"/>
    <n v="100"/>
    <n v="3"/>
    <n v="3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671213"/>
    <s v="Mejorar sistema filtros de admisión CTR"/>
    <s v="NOTI JBFI LIB. NLIQ PLAN PWF  RESA"/>
    <s v="PL"/>
    <n v="230"/>
    <d v="2025-09-25T00:00:00"/>
    <d v="2026-05-13T00:00:00"/>
    <s v="40779"/>
    <n v="100"/>
    <n v="8"/>
    <n v="8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726769"/>
    <s v="Reemplazo panel de control compresor 20"/>
    <s v="NOTI JBFI LIB. NLIQ PLAN PWF"/>
    <s v="PL"/>
    <n v="257"/>
    <d v="2025-08-28T00:00:00"/>
    <d v="2026-05-12T00:00:00"/>
    <s v="40779"/>
    <n v="100"/>
    <n v="12"/>
    <n v="12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726769"/>
    <s v="Reemplazo panel de control compresor 20"/>
    <s v="NOTI JBFI LIB. NLIQ PLAN PWF"/>
    <s v="PL"/>
    <n v="258"/>
    <d v="2025-08-28T00:00:00"/>
    <d v="2026-05-13T00:00:00"/>
    <s v="40779"/>
    <n v="100"/>
    <n v="1"/>
    <n v="1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09726769"/>
    <s v="Reemplazo panel de control compresor 20"/>
    <s v="NOTI JBFI LIB. NLIQ PLAN PWF  RESA"/>
    <s v="PL"/>
    <n v="259"/>
    <d v="2025-08-28T00:00:00"/>
    <d v="2026-05-14T00:00:00"/>
    <s v="40779"/>
    <n v="100"/>
    <n v="12"/>
    <n v="12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085717"/>
    <s v="Cambio bomba N°1 Compresor 29 DESGASTE"/>
    <s v="NOTI JBFI LIB. NLIQ PLAN PWF"/>
    <s v="PL"/>
    <n v="143"/>
    <d v="2025-12-24T00:00:00"/>
    <d v="2026-05-16T00:00:00"/>
    <s v="40779"/>
    <n v="100"/>
    <n v="5"/>
    <n v="5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085717"/>
    <s v="Cambio bomba N°1 Compresor 29 DESGASTE"/>
    <s v="NOTI JBFI LIB. NLIQ PLAN PWF  RESA"/>
    <s v="PL"/>
    <n v="141"/>
    <d v="2025-12-24T00:00:00"/>
    <d v="2026-05-14T00:00:00"/>
    <s v="40779"/>
    <n v="100"/>
    <n v="18"/>
    <n v="18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57406"/>
    <s v="(Q) TRAB PREVIOS MTTO 6M COMP 20"/>
    <s v="NOTI JBFI LIB. NLIQ PLAN PWF"/>
    <s v="PL"/>
    <n v="18"/>
    <d v="2026-04-23T00:00:00"/>
    <d v="2026-05-11T00:00:00"/>
    <s v="40779"/>
    <n v="100"/>
    <n v="14.2"/>
    <n v="14.2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43"/>
    <s v="INST BIOMETRICO ACCESO SALA CTR"/>
    <s v="NOTI CTEC JBFI NLIQ PWF  RESA PLAN"/>
    <s v="PL"/>
    <n v="12"/>
    <d v="2026-05-03T00:00:00"/>
    <d v="2026-05-15T00:00:00"/>
    <s v="40779"/>
    <n v="100"/>
    <n v="20"/>
    <n v="20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43"/>
    <s v="INST BIOMETRICO ACCESO SALA CTR"/>
    <s v="NOTI CTEC JBFI NLIQ PWF PLAN"/>
    <s v="PL"/>
    <n v="12"/>
    <d v="2026-05-03T00:00:00"/>
    <d v="2026-05-15T00:00:00"/>
    <s v="40779"/>
    <n v="100"/>
    <n v="2"/>
    <n v="2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47"/>
    <s v="(Q) TRAB PREVIOS MTTO 6M COMP 29"/>
    <s v="NOTI JBFI LIB. NLIQ PLAN PWF"/>
    <s v="PL"/>
    <n v="14"/>
    <d v="2026-05-03T00:00:00"/>
    <d v="2026-05-17T00:00:00"/>
    <s v="40779"/>
    <n v="100"/>
    <n v="7.5"/>
    <n v="7.5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47"/>
    <s v="(Q) TRAB PREVIOS MTTO 6M COMP 29"/>
    <s v="NOTI JBFI LIB. NLIQ PLAN PWF  RESA"/>
    <s v="PL"/>
    <n v="13"/>
    <d v="2026-05-03T00:00:00"/>
    <d v="2026-05-16T00:00:00"/>
    <s v="40779"/>
    <n v="100"/>
    <n v="1.4"/>
    <n v="1.4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48"/>
    <s v="3M MTTO BOMBA CIRCULADORA N°2"/>
    <s v="NOTI CTEC JBFI NLIQ PWF  RESA PLAN"/>
    <s v="PL"/>
    <n v="13"/>
    <d v="2026-05-03T00:00:00"/>
    <d v="2026-05-16T00:00:00"/>
    <s v="40779"/>
    <n v="100"/>
    <n v="2.5"/>
    <n v="2.5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48"/>
    <s v="3M MTTO BOMBA CIRCULADORA N°2"/>
    <s v="NOTI CTEC JBFI NLIQ PWF PLAN"/>
    <s v="PL"/>
    <n v="13"/>
    <d v="2026-05-03T00:00:00"/>
    <d v="2026-05-16T00:00:00"/>
    <s v="40779"/>
    <n v="100"/>
    <n v="3.8"/>
    <n v="3.8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49"/>
    <s v="INST BIOMETRICO ACCESO SALA 09"/>
    <s v="NOTI CTEC JBFI NLIQ PWF  RESA PLAN"/>
    <s v="PL"/>
    <n v="8"/>
    <d v="2026-05-03T00:00:00"/>
    <d v="2026-05-11T00:00:00"/>
    <s v="40779"/>
    <n v="100"/>
    <n v="24"/>
    <n v="24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49"/>
    <s v="INST BIOMETRICO ACCESO SALA 09"/>
    <s v="NOTI CTEC JBFI NLIQ PWF  RESA PLAN"/>
    <s v="PL"/>
    <n v="10"/>
    <d v="2026-05-03T00:00:00"/>
    <d v="2026-05-13T00:00:00"/>
    <s v="40779"/>
    <n v="100"/>
    <n v="20"/>
    <n v="20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49"/>
    <s v="INST BIOMETRICO ACCESO SALA 09"/>
    <s v="NOTI CTEC JBFI NLIQ PWF PLAN"/>
    <s v="PL"/>
    <n v="11"/>
    <d v="2026-05-03T00:00:00"/>
    <d v="2026-05-14T00:00:00"/>
    <s v="40779"/>
    <n v="100"/>
    <n v="2"/>
    <n v="2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52"/>
    <s v="INSPECCION SALA ELECTRICA"/>
    <s v="NOTI CTEC JBFI NLIQ PWF PLAN"/>
    <s v="PL"/>
    <n v="14"/>
    <d v="2026-05-03T00:00:00"/>
    <d v="2026-05-17T00:00:00"/>
    <s v="40779"/>
    <n v="100"/>
    <n v="2"/>
    <n v="2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55"/>
    <s v="COMP 20 -CAMBIO DE ENFRIADERA."/>
    <s v="NOTI JBFI LIB. NLIQ PLAN PWF  RESA"/>
    <s v="PL"/>
    <n v="12"/>
    <d v="2026-04-30T00:00:00"/>
    <d v="2026-05-12T00:00:00"/>
    <s v="40779"/>
    <n v="100"/>
    <n v="3"/>
    <n v="3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55"/>
    <s v="COMP 20 -CAMBIO DE ENFRIADERA."/>
    <s v="NOTI JBFI LIB. NLIQ PLAN PWF  RESA"/>
    <s v="PL"/>
    <n v="13"/>
    <d v="2026-04-30T00:00:00"/>
    <d v="2026-05-13T00:00:00"/>
    <s v="40779"/>
    <n v="100"/>
    <n v="30"/>
    <n v="30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55"/>
    <s v="COMP 20 -CAMBIO DE ENFRIADERA."/>
    <s v="NOTI JBFI LIB. NLIQ PLAN PWF  RESA"/>
    <s v="PL"/>
    <n v="14"/>
    <d v="2026-04-30T00:00:00"/>
    <d v="2026-05-14T00:00:00"/>
    <s v="40779"/>
    <n v="100"/>
    <n v="10.5"/>
    <n v="10.5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55"/>
    <s v="COMP 20 -CAMBIO DE ENFRIADERA."/>
    <s v="NOTI JBFI LIB. NLIQ PLAN PWF  RESA"/>
    <s v="PL"/>
    <n v="15"/>
    <d v="2026-04-30T00:00:00"/>
    <d v="2026-05-15T00:00:00"/>
    <s v="40779"/>
    <n v="100"/>
    <n v="45"/>
    <n v="45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355"/>
    <s v="COMP 20 -CAMBIO DE ENFRIADERA."/>
    <s v="NOTI JBFI LIB. NLIQ PLAN PWF  RESA"/>
    <s v="PL"/>
    <n v="16"/>
    <d v="2026-04-30T00:00:00"/>
    <d v="2026-05-16T00:00:00"/>
    <s v="40779"/>
    <n v="100"/>
    <n v="8.3000000000000007"/>
    <n v="8.3000000000000007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425"/>
    <s v="48M MTTO COMPRESOR 08"/>
    <s v="NOTI JBFI LIB. NLIQ PLAN PWF  RESA"/>
    <s v="PL"/>
    <n v="9"/>
    <d v="2026-05-03T00:00:00"/>
    <d v="2026-05-12T00:00:00"/>
    <s v="40779"/>
    <n v="100"/>
    <n v="42"/>
    <n v="42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75425"/>
    <s v="48M MTTO COMPRESOR 08"/>
    <s v="NOTI JBFI LIB. NLIQ PLAN PWF  RESA"/>
    <s v="PL"/>
    <n v="10"/>
    <d v="2026-05-03T00:00:00"/>
    <d v="2026-05-13T00:00:00"/>
    <s v="40779"/>
    <n v="100"/>
    <n v="24"/>
    <n v="24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81437"/>
    <s v="(Q) Limpieza de Linea 10 de CAL"/>
    <s v="NOTI JBFI LIB. NLIQ PLAN PWF  RESA"/>
    <s v="PL"/>
    <n v="8"/>
    <d v="2026-05-03T00:00:00"/>
    <d v="2026-05-11T00:00:00"/>
    <s v="40779"/>
    <n v="100"/>
    <n v="9.5"/>
    <n v="9.5"/>
    <x v="1"/>
  </r>
  <r>
    <s v="20.2026"/>
    <s v="08 INFR SERVIC Y SUMIN DCH"/>
    <x v="2"/>
    <s v="CHSS-SU"/>
    <s v="MANT &amp; PLANIF CENTRAL TERMICA SULFUROS"/>
    <s v="CGSTMRMM"/>
    <s v="025"/>
    <s v="Correctivo Planificado"/>
    <x v="2"/>
    <x v="2"/>
    <s v="110481437"/>
    <s v="(Q) Limpieza de Linea 10 de CAL"/>
    <s v="NOTI JBFI LIB. NLIQ PLAN PWF  RESA"/>
    <s v="PL"/>
    <n v="9"/>
    <d v="2026-05-03T00:00:00"/>
    <d v="2026-05-12T00:00:00"/>
    <s v="40779"/>
    <n v="100"/>
    <n v="9"/>
    <n v="9"/>
    <x v="1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264828"/>
    <s v="Reparar ducto alim. al MH-2"/>
    <s v="NOTI CTEC JBFI NLIQ PWF  RESA PLAN"/>
    <s v="NP"/>
    <n v="84"/>
    <d v="2026-02-17T00:00:00"/>
    <d v="2026-05-12T00:00:00"/>
    <s v="#"/>
    <n v="0"/>
    <n v="0"/>
    <n v="2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324133"/>
    <s v="INST BIOMETRICO sala 7"/>
    <s v="NOTI CTEC JBFI NLIQ PWF  RESA"/>
    <s v="NP"/>
    <n v="48"/>
    <d v="2026-03-27T00:00:00"/>
    <d v="2026-05-14T00:00:00"/>
    <s v="#"/>
    <m/>
    <m/>
    <n v="2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493464"/>
    <s v="COMP 29 -CAMBIO DE ENFRIADERA"/>
    <s v="NOTI JBFI LIB. NLIQ PWF  RESA"/>
    <s v="NP"/>
    <n v="3"/>
    <d v="2026-05-09T00:00:00"/>
    <d v="2026-05-12T00:00:00"/>
    <s v="#"/>
    <m/>
    <m/>
    <n v="3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05267"/>
    <s v="Visor sucio de descanso"/>
    <s v="NOTI CTEC JBFI NLIQ PWF"/>
    <s v="NP"/>
    <n v="5"/>
    <d v="2026-05-07T00:00:00"/>
    <d v="2026-05-12T00:00:00"/>
    <s v="#"/>
    <m/>
    <m/>
    <n v="2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05267"/>
    <s v="Visor sucio de descanso"/>
    <s v="NOTI CTEC JBFI NLIQ PWF  RESA"/>
    <s v="NP"/>
    <n v="5"/>
    <d v="2026-05-07T00:00:00"/>
    <d v="2026-05-12T00:00:00"/>
    <s v="#"/>
    <m/>
    <m/>
    <n v="1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05271"/>
    <s v="Rellenar nivel de aceite carter"/>
    <s v="NOTI CTEC JBFI NLIQ PWF"/>
    <s v="NP"/>
    <n v="1"/>
    <d v="2026-05-11T00:00:00"/>
    <d v="2026-05-12T00:00:00"/>
    <s v="#"/>
    <m/>
    <m/>
    <n v="2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1155"/>
    <s v="Reparación Línea Acelerador Silo N°2"/>
    <s v="NOTI CTEC JBFI NLIQ PWF  RESA"/>
    <s v="NP"/>
    <n v="0"/>
    <d v="2026-05-11T00:00:00"/>
    <d v="2026-05-11T00:00:00"/>
    <s v="#"/>
    <m/>
    <m/>
    <n v="3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3921"/>
    <s v="Puerta lado sur Correa Aux. No cierra"/>
    <s v="NOTI CTEC JBFI NLIQ PWF  RESA"/>
    <s v="NP"/>
    <n v="-1"/>
    <d v="2026-05-12T00:00:00"/>
    <d v="2026-05-11T00:00:00"/>
    <s v="#"/>
    <m/>
    <m/>
    <n v="2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3930"/>
    <s v="Destapar línea 3&quot; BBA Aurora a C.Prod.MT"/>
    <s v="NOTI CTEC JBFI NLIQ PWF  RESA"/>
    <s v="NP"/>
    <n v="-1"/>
    <d v="2026-05-12T00:00:00"/>
    <d v="2026-05-11T00:00:00"/>
    <s v="#"/>
    <m/>
    <m/>
    <n v="3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5568"/>
    <s v="Posición de válvula ON/OFF"/>
    <s v="NOTI CTEC JBFI NLIQ PWF  RESA"/>
    <s v="NP"/>
    <n v="0"/>
    <d v="2026-05-11T00:00:00"/>
    <d v="2026-05-11T00:00:00"/>
    <s v="#"/>
    <m/>
    <m/>
    <n v="1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6455"/>
    <s v="chequeo alinemiento pots PES"/>
    <s v="NOTI CTEC JBFI NLIQ PWF"/>
    <s v="NP"/>
    <n v="0"/>
    <d v="2026-05-12T00:00:00"/>
    <d v="2026-05-12T00:00:00"/>
    <s v="#"/>
    <m/>
    <m/>
    <n v="6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6455"/>
    <s v="chequeo alinemiento pots PES"/>
    <s v="NOTI CTEC JBFI NLIQ PWF  RESA"/>
    <s v="NP"/>
    <n v="1"/>
    <d v="2026-05-12T00:00:00"/>
    <d v="2026-05-13T00:00:00"/>
    <s v="#"/>
    <m/>
    <m/>
    <n v="1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8096"/>
    <s v="Ducto entrada filtros mangas pernos suel"/>
    <s v="NOTI CTEC JBFI NLIQ PWF  RESA"/>
    <s v="NP"/>
    <n v="0"/>
    <d v="2026-05-12T00:00:00"/>
    <d v="2026-05-12T00:00:00"/>
    <s v="#"/>
    <m/>
    <m/>
    <n v="2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8097"/>
    <s v="Cambio válvula 1&quot; cajón trómel MH2"/>
    <s v="NOTI CTEC JBFI NLIQ PWF  RESA"/>
    <s v="NP"/>
    <n v="0"/>
    <d v="2026-05-12T00:00:00"/>
    <d v="2026-05-12T00:00:00"/>
    <s v="#"/>
    <m/>
    <m/>
    <n v="2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8615"/>
    <s v="REVISIÓN SOPLADOR 8 TRIP AL CAMBIO"/>
    <s v="NOTI CTEC JBFI NLIQ PWF  RESA"/>
    <s v="NP"/>
    <n v="0"/>
    <d v="2026-05-12T00:00:00"/>
    <d v="2026-05-12T00:00:00"/>
    <s v="#"/>
    <m/>
    <m/>
    <n v="1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19436"/>
    <s v="Revisión Ajuste de sello Bomba 010"/>
    <s v="NOTI CTEC JBFI NLIQ PWF  RESA"/>
    <s v="NP"/>
    <n v="-1"/>
    <d v="2026-05-13T00:00:00"/>
    <d v="2026-05-12T00:00:00"/>
    <s v="#"/>
    <m/>
    <m/>
    <n v="3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24952"/>
    <s v="Limpieza cajón Bomba Aurora Molino Torre"/>
    <s v="NOTI JBFI LIB. NLIQ PWF  RESA"/>
    <s v="NP"/>
    <n v="-1"/>
    <d v="2026-05-16T00:00:00"/>
    <d v="2026-05-15T00:00:00"/>
    <s v="#"/>
    <m/>
    <m/>
    <n v="3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25045"/>
    <s v="Reparaciones roturas líneas acel. Silo 2"/>
    <s v="NOTI CTEC JBFI NLIQ PWF  RESA"/>
    <s v="NP"/>
    <n v="-2"/>
    <d v="2026-05-16T00:00:00"/>
    <d v="2026-05-14T00:00:00"/>
    <s v="#"/>
    <m/>
    <m/>
    <n v="1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25045"/>
    <s v="Reparaciones roturas líneas acel. Silo 2"/>
    <s v="NOTI CTEC JBFI NLIQ PWF  RESA"/>
    <s v="NP"/>
    <n v="-1"/>
    <d v="2026-05-16T00:00:00"/>
    <d v="2026-05-15T00:00:00"/>
    <s v="#"/>
    <m/>
    <m/>
    <n v="2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29391"/>
    <s v="Revisar panel de control  (apagadoa9"/>
    <s v="NOTI CTEC JBFI NLIQ PWF"/>
    <s v="NP"/>
    <n v="0"/>
    <d v="2026-05-16T00:00:00"/>
    <d v="2026-05-16T00:00:00"/>
    <s v="#"/>
    <m/>
    <m/>
    <n v="1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30667"/>
    <s v="Cambio sello bba ciclón 1 M.Torre"/>
    <s v="NOTI JBFI LIB. NLIQ PWF"/>
    <s v="NP"/>
    <n v="-1"/>
    <d v="2026-05-17T00:00:00"/>
    <d v="2026-05-16T00:00:00"/>
    <s v="#"/>
    <m/>
    <m/>
    <n v="1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30667"/>
    <s v="Cambio sello bba ciclón 1 M.Torre"/>
    <s v="NOTI JBFI LIB. NLIQ PWF  RESA"/>
    <s v="NP"/>
    <n v="-1"/>
    <d v="2026-05-17T00:00:00"/>
    <d v="2026-05-16T00:00:00"/>
    <s v="#"/>
    <m/>
    <m/>
    <n v="2"/>
    <x v="0"/>
  </r>
  <r>
    <s v="20.2026"/>
    <s v="08 INFR SERVIC Y SUMIN DCH"/>
    <x v="2"/>
    <s v="CHSS-SU"/>
    <s v="MANT &amp; PLANIF CENTRAL TERMICA SULFUROS"/>
    <s v="CGSTMRMM"/>
    <s v="035"/>
    <s v="Correctivo No Planificado"/>
    <x v="2"/>
    <x v="2"/>
    <s v="110530732"/>
    <s v="Cambio de motor bomba 3B PHC"/>
    <s v="NOTI JBFI LIB. NLIQ PWF"/>
    <s v="NP"/>
    <n v="0"/>
    <d v="2026-05-17T00:00:00"/>
    <d v="2026-05-17T00:00:00"/>
    <s v="#"/>
    <m/>
    <m/>
    <n v="1.5"/>
    <x v="0"/>
  </r>
  <r>
    <s v="20.2026"/>
    <s v="08 INFR SERVIC Y SUMIN DCH"/>
    <x v="3"/>
    <s v="02 GRUAS INFRA DCH"/>
    <s v="MANT &amp; PLANIF CENTRAL TERMICA SULFUROS"/>
    <s v="CGSTMRMM"/>
    <s v="010"/>
    <s v="Preventivo Sistemático"/>
    <x v="2"/>
    <x v="2"/>
    <s v="110436792"/>
    <s v="MRT 16S MEC MTTO PUENTE GRUA SALA COMP"/>
    <s v="NOTI JBFI LIB. NLIQ PLAN PWF  RESA"/>
    <s v="PL"/>
    <n v="8"/>
    <d v="2026-05-05T00:00:00"/>
    <d v="2026-05-13T00:00:00"/>
    <s v="98123"/>
    <n v="100"/>
    <n v="25.5"/>
    <n v="25.5"/>
    <x v="1"/>
  </r>
  <r>
    <s v="20.2026"/>
    <s v="08 INFR SERVIC Y SUMIN DCH"/>
    <x v="3"/>
    <s v="03 SIST. C.INCENDIO INFRA DCH"/>
    <s v="MANT &amp; PLANIF SUMINISTRO ELECTRICO"/>
    <s v="CGSSERME"/>
    <s v="010"/>
    <s v="Preventivo Sistemático"/>
    <x v="1"/>
    <x v="1"/>
    <s v="110473462"/>
    <s v="INSPECCI SAPCI S/E SOPLADORES GIS 13,8KV"/>
    <s v="NOTI CTEC JBFI NLIQ PWF  RESA PLAN"/>
    <s v="PL"/>
    <n v="15"/>
    <d v="2026-04-28T00:00:00"/>
    <d v="2026-05-13T00:00:00"/>
    <s v="98157"/>
    <n v="100"/>
    <n v="3"/>
    <n v="3"/>
    <x v="1"/>
  </r>
  <r>
    <s v="20.2026"/>
    <s v="08 INFR SERVIC Y SUMIN DCH"/>
    <x v="3"/>
    <s v="03 SIST. C.INCENDIO INFRA DCH"/>
    <s v="MANT &amp; PLANIF SUMINISTRO ELECTRICO"/>
    <s v="CGSSERME"/>
    <s v="010"/>
    <s v="Preventivo Sistemático"/>
    <x v="1"/>
    <x v="1"/>
    <s v="110473475"/>
    <s v="INSPECCION SAPCI S/E TCHITACK SALA GIS"/>
    <s v="NOTI CTEC JBFI NLIQ PWF  RESA PLAN"/>
    <s v="PL"/>
    <n v="15"/>
    <d v="2026-04-28T00:00:00"/>
    <d v="2026-05-13T00:00:00"/>
    <s v="98157"/>
    <n v="100"/>
    <n v="3"/>
    <n v="3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39860"/>
    <s v="INSPECCION SISTEMA SAPCI S/E KM6"/>
    <s v="NOTI CTEC JBFI NLIQ PWF  RESA PLAN"/>
    <s v="PL"/>
    <n v="14"/>
    <d v="2026-04-27T00:00:00"/>
    <d v="2026-05-11T00:00:00"/>
    <s v="98157"/>
    <n v="100"/>
    <n v="2"/>
    <n v="2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39861"/>
    <s v="INSPECCION SISTEMA SAPCI S/E 10"/>
    <s v="NOTI CTEC JBFI NLIQ PWF  RESA PLAN"/>
    <s v="PL"/>
    <n v="14"/>
    <d v="2026-04-27T00:00:00"/>
    <d v="2026-05-11T00:00:00"/>
    <s v="98157"/>
    <n v="100"/>
    <n v="2"/>
    <n v="2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39864"/>
    <s v="INSPECCION SISTEMA SAPCI S/E CHUQUICAMAT"/>
    <s v="NOTI CTEC JBFI NLIQ PWF  RESA PLAN"/>
    <s v="PL"/>
    <n v="15"/>
    <d v="2026-04-27T00:00:00"/>
    <d v="2026-05-12T00:00:00"/>
    <s v="98157"/>
    <n v="100"/>
    <n v="2"/>
    <n v="2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39865"/>
    <s v="INSPECCION SISTEMA SAPCI  S/E SUB-A"/>
    <s v="NOTI CTEC JBFI NLIQ PWF  RESA PLAN"/>
    <s v="PL"/>
    <n v="15"/>
    <d v="2026-04-27T00:00:00"/>
    <d v="2026-05-12T00:00:00"/>
    <s v="98157"/>
    <n v="100"/>
    <n v="2"/>
    <n v="2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73454"/>
    <s v="INSPECCIÓN SAPCI S/E K1 TRAFO 1-2"/>
    <s v="NOTI CTEC JBFI NLIQ PWF  RESA PLAN"/>
    <s v="PL"/>
    <n v="16"/>
    <d v="2026-04-28T00:00:00"/>
    <d v="2026-05-14T00:00:00"/>
    <s v="98157"/>
    <n v="100"/>
    <n v="3"/>
    <n v="3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73455"/>
    <s v="INSPECCION SAPCI S/E K1 TRAFO 3"/>
    <s v="NOTI CTEC JBFI NLIQ PWF  RESA PLAN"/>
    <s v="PL"/>
    <n v="15"/>
    <d v="2026-04-28T00:00:00"/>
    <d v="2026-05-13T00:00:00"/>
    <s v="98157"/>
    <n v="100"/>
    <n v="3"/>
    <n v="3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73457"/>
    <s v="INSPECCION SAPCI S/E SOPLADORES TRAFO 1"/>
    <s v="NOTI CTEC JBFI NLIQ PWF  RESA PLAN"/>
    <s v="PL"/>
    <n v="14"/>
    <d v="2026-04-28T00:00:00"/>
    <d v="2026-05-12T00:00:00"/>
    <s v="98157"/>
    <n v="100"/>
    <n v="3"/>
    <n v="3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73466"/>
    <s v="INSPECCION SAPCI S/E TCHITACK SALA SCADA"/>
    <s v="NOTI CTEC JBFI NLIQ PWF  RESA PLAN"/>
    <s v="PL"/>
    <n v="15"/>
    <d v="2026-04-28T00:00:00"/>
    <d v="2026-05-13T00:00:00"/>
    <s v="98157"/>
    <n v="100"/>
    <n v="3"/>
    <n v="3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73479"/>
    <s v="INSPECCION SAPCI S/E TCHITACK GIS 220KV"/>
    <s v="NOTI CTEC JBFI NLIQ PWF  RESA PLAN"/>
    <s v="PL"/>
    <n v="16"/>
    <d v="2026-04-28T00:00:00"/>
    <d v="2026-05-14T00:00:00"/>
    <s v="98157"/>
    <n v="100"/>
    <n v="3"/>
    <n v="3"/>
    <x v="1"/>
  </r>
  <r>
    <s v="20.2026"/>
    <s v="08 INFR SERVIC Y SUMIN DCH"/>
    <x v="3"/>
    <s v="03 SIST. C.INCENDIO INFRA DCH"/>
    <s v="MANT &amp; PLANIF SUMINISTRO ELECTRICO"/>
    <s v="CGSSERME"/>
    <s v="020"/>
    <s v="Preventivo Predictivo"/>
    <x v="1"/>
    <x v="1"/>
    <s v="110473484"/>
    <s v="INSPECCION SAPCI S/E TCHITACK GIS 34,5KV"/>
    <s v="NOTI CTEC JBFI NLIQ PWF  RESA PLAN"/>
    <s v="PL"/>
    <n v="16"/>
    <d v="2026-04-28T00:00:00"/>
    <d v="2026-05-14T00:00:00"/>
    <s v="98157"/>
    <n v="100"/>
    <n v="3"/>
    <n v="3"/>
    <x v="1"/>
  </r>
  <r>
    <s v="20.2026"/>
    <s v="08 INFR SERVIC Y SUMIN DCH"/>
    <x v="3"/>
    <s v="05 RESPAL. E.ELEC. INFRA DCH"/>
    <s v="MANT &amp; PLANIF CENTRAL TERMICA SULFUROS"/>
    <s v="CGSTMRMM"/>
    <s v="010"/>
    <s v="Preventivo Sistemático"/>
    <x v="2"/>
    <x v="2"/>
    <s v="110277899"/>
    <s v="MRT 4S INST INSP CARGA BATERIAS G3"/>
    <s v="NOTI CTEC JBFI NLIQ PWF PLAN"/>
    <s v="PL"/>
    <n v="63"/>
    <d v="2026-03-12T00:00:00"/>
    <d v="2026-05-14T00:00:00"/>
    <s v="96762"/>
    <n v="100"/>
    <n v="1"/>
    <n v="1"/>
    <x v="1"/>
  </r>
  <r>
    <s v="20.2026"/>
    <s v="08 INFR SERVIC Y SUMIN DCH"/>
    <x v="3"/>
    <s v="05 RESPAL. E.ELEC. INFRA DCH"/>
    <s v="MANT &amp; PLANIF CENTRAL TERMICA SULFUROS"/>
    <s v="CGSTMRMM"/>
    <s v="010"/>
    <s v="Preventivo Sistemático"/>
    <x v="2"/>
    <x v="2"/>
    <s v="110277900"/>
    <s v="MRT 4S INST INSP CARGA BATERIAS G4"/>
    <s v="NOTI CTEC JBFI NLIQ PWF PLAN"/>
    <s v="PL"/>
    <n v="63"/>
    <d v="2026-03-12T00:00:00"/>
    <d v="2026-05-14T00:00:00"/>
    <s v="96762"/>
    <n v="100"/>
    <n v="1"/>
    <n v="1"/>
    <x v="1"/>
  </r>
  <r>
    <s v="20.2026"/>
    <s v="08 INFR SERVIC Y SUMIN DCH"/>
    <x v="3"/>
    <s v="05 RESPAL. E.ELEC. INFRA DCH"/>
    <s v="MANT &amp; PLANIF CENTRAL TERMICA SULFUROS"/>
    <s v="CGSTMRMM"/>
    <s v="010"/>
    <s v="Preventivo Sistemático"/>
    <x v="2"/>
    <x v="2"/>
    <s v="110427659"/>
    <s v="MRT 4S INST INSP CARGA BATERIAS G1"/>
    <s v="NOTI CTEC JBFI NLIQ PWF PLAN"/>
    <s v="PL"/>
    <n v="11"/>
    <d v="2026-05-03T00:00:00"/>
    <d v="2026-05-14T00:00:00"/>
    <s v="96762"/>
    <n v="100"/>
    <n v="1"/>
    <n v="1"/>
    <x v="1"/>
  </r>
  <r>
    <s v="20.2026"/>
    <s v="08 INFR SERVIC Y SUMIN DCH"/>
    <x v="3"/>
    <s v="05 RESPAL. E.ELEC. INFRA DCH"/>
    <s v="MANT &amp; PLANIF CENTRAL TERMICA SULFUROS"/>
    <s v="CGSTMRMM"/>
    <s v="010"/>
    <s v="Preventivo Sistemático"/>
    <x v="2"/>
    <x v="2"/>
    <s v="110427660"/>
    <s v="MRT 4S INST INSP CARGA BATERIAS G2"/>
    <s v="NOTI CTEC JBFI NLIQ PWF PLAN"/>
    <s v="PL"/>
    <n v="11"/>
    <d v="2026-05-03T00:00:00"/>
    <d v="2026-05-14T00:00:00"/>
    <s v="96762"/>
    <n v="100"/>
    <n v="1"/>
    <n v="1"/>
    <x v="1"/>
  </r>
  <r>
    <s v="20.2026"/>
    <s v="08 INFR SERVIC Y SUMIN DCH"/>
    <x v="3"/>
    <s v="05 RESPAL. E.ELEC. INFRA DCH"/>
    <s v="MANT &amp; PLANIF SUMINISTRO ELECTRICO"/>
    <s v="CGSSERME"/>
    <s v="010"/>
    <s v="Preventivo Sistemático"/>
    <x v="1"/>
    <x v="1"/>
    <s v="110251289"/>
    <s v="BANCO BATERIAS N°1  SALA S/E K1"/>
    <s v="NOTI CTEC JBFI NLIQ PWF  RESA PLAN"/>
    <s v="PL"/>
    <n v="8"/>
    <d v="2026-05-05T00:00:00"/>
    <d v="2026-05-13T00:00:00"/>
    <s v="98949"/>
    <n v="100"/>
    <n v="6"/>
    <n v="6"/>
    <x v="1"/>
  </r>
  <r>
    <s v="20.2026"/>
    <s v="08 INFR SERVIC Y SUMIN DCH"/>
    <x v="3"/>
    <s v="05 RESPAL. E.ELEC. INFRA DCH"/>
    <s v="MANT &amp; PLANIF SUMINISTRO ELECTRICO"/>
    <s v="CGSSERME"/>
    <s v="010"/>
    <s v="Preventivo Sistemático"/>
    <x v="1"/>
    <x v="1"/>
    <s v="110251290"/>
    <s v="BANCO BATERIAS N°2  SALA S/E K1"/>
    <s v="NOTI CTEC JBFI NLIQ PWF  RESA PLAN"/>
    <s v="PL"/>
    <n v="8"/>
    <d v="2026-05-05T00:00:00"/>
    <d v="2026-05-13T00:00:00"/>
    <s v="98949"/>
    <n v="100"/>
    <n v="6"/>
    <n v="6"/>
    <x v="1"/>
  </r>
  <r>
    <s v="20.2026"/>
    <s v="08 INFR SERVIC Y SUMIN DCH"/>
    <x v="3"/>
    <s v="05 RESPAL. E.ELEC. INFRA DCH"/>
    <s v="MANT &amp; PLANIF SUMINISTRO ELECTRICO"/>
    <s v="CGSSERME"/>
    <s v="010"/>
    <s v="Preventivo Sistemático"/>
    <x v="1"/>
    <x v="1"/>
    <s v="110251291"/>
    <s v="CARGADOR BATERIAS N°1 SALA S/E K1"/>
    <s v="NOTI CTEC JBFI NLIQ PWF  RESA PLAN"/>
    <s v="PL"/>
    <n v="8"/>
    <d v="2026-05-05T00:00:00"/>
    <d v="2026-05-13T00:00:00"/>
    <s v="98949"/>
    <n v="100"/>
    <n v="6"/>
    <n v="6"/>
    <x v="1"/>
  </r>
  <r>
    <s v="20.2026"/>
    <s v="08 INFR SERVIC Y SUMIN DCH"/>
    <x v="3"/>
    <s v="05 RESPAL. E.ELEC. INFRA DCH"/>
    <s v="MANT &amp; PLANIF SUMINISTRO ELECTRICO"/>
    <s v="CGSSERME"/>
    <s v="010"/>
    <s v="Preventivo Sistemático"/>
    <x v="1"/>
    <x v="1"/>
    <s v="110251292"/>
    <s v="CARGADOR BATERIAS N°2 SALA S/E K1"/>
    <s v="NOTI CTEC JBFI NLIQ PWF  RESA PLAN"/>
    <s v="PL"/>
    <n v="9"/>
    <d v="2026-05-05T00:00:00"/>
    <d v="2026-05-14T00:00:00"/>
    <s v="98949"/>
    <n v="100"/>
    <n v="6"/>
    <n v="6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x v="0"/>
    <s v="20.2026"/>
    <s v="08 INFR SERVIC Y SUMIN DCH"/>
    <x v="0"/>
    <s v="CDEE"/>
    <s v="MANT &amp; PLANIF SUMINISTRO ELECTRICO"/>
    <s v="CGSSERME"/>
    <s v="Correctivo Planificado"/>
    <s v="025"/>
    <s v="110377744"/>
    <s v="Revis. y repar. Comp aire 52HT18 S/E A"/>
    <s v="PL"/>
    <s v="NOTI CTEC JBFI NLIQ PWF  RESA PLAN"/>
    <n v="100"/>
    <n v="1"/>
    <n v="1"/>
    <x v="0"/>
  </r>
  <r>
    <x v="0"/>
    <x v="0"/>
    <s v="20.2026"/>
    <s v="08 INFR SERVIC Y SUMIN DCH"/>
    <x v="0"/>
    <s v="CDEE"/>
    <s v="MANT &amp; PLANIF SUMINISTRO ELECTRICO"/>
    <s v="CGSSERME"/>
    <s v="Correctivo Planificado"/>
    <s v="025"/>
    <s v="110474160"/>
    <s v="EJE. CAMBIO RASA CELDA K13 S/E 10A"/>
    <s v="PL"/>
    <s v="NOTI CTEC JBFI NLIQ PWF  RESA PLAN"/>
    <n v="100"/>
    <n v="1"/>
    <n v="1"/>
    <x v="0"/>
  </r>
  <r>
    <x v="0"/>
    <x v="0"/>
    <s v="20.2026"/>
    <s v="08 INFR SERVIC Y SUMIN DCH"/>
    <x v="0"/>
    <s v="CDEE"/>
    <s v="MANT &amp; PLANIF SUMINISTRO ELECTRICO"/>
    <s v="CGSSERME"/>
    <s v="Correctivo Planificado"/>
    <s v="025"/>
    <s v="110496644"/>
    <s v="STN MTTO SIST RESPALDO S/E PRINCIPAL CAL"/>
    <s v="PL"/>
    <s v="NOTI CTEC JBFI NLIQ PWF  RESA PLAN"/>
    <n v="100"/>
    <n v="1"/>
    <n v="1"/>
    <x v="0"/>
  </r>
  <r>
    <x v="0"/>
    <x v="0"/>
    <s v="20.2026"/>
    <s v="08 INFR SERVIC Y SUMIN DCH"/>
    <x v="0"/>
    <s v="CDEE"/>
    <s v="MANT &amp; PLANIF SUMINISTRO ELECTRICO"/>
    <s v="CGSSERME"/>
    <s v="Preventivo Predictivo"/>
    <s v="020"/>
    <s v="110330383"/>
    <s v="Insp. 4M S/E Dist. 13.8 kV Refinería"/>
    <s v="PL"/>
    <s v="NOTI CTEC JBFI NLIQ PWF  RESA PLAN"/>
    <n v="100"/>
    <n v="1"/>
    <n v="1"/>
    <x v="0"/>
  </r>
  <r>
    <x v="0"/>
    <x v="0"/>
    <s v="20.2026"/>
    <s v="08 INFR SERVIC Y SUMIN DCH"/>
    <x v="0"/>
    <s v="CDEE"/>
    <s v="MANT &amp; PLANIF SUMINISTRO ELECTRICO"/>
    <s v="CGSSERME"/>
    <s v="Preventivo Predictivo"/>
    <s v="020"/>
    <s v="110459257"/>
    <s v="Insp. 4M S/E Dist. 13.8 kV Fundición"/>
    <s v="PL"/>
    <s v="NOTI CTEC JBFI NLIQ PWF PLAN"/>
    <n v="100"/>
    <n v="1"/>
    <n v="1"/>
    <x v="0"/>
  </r>
  <r>
    <x v="0"/>
    <x v="0"/>
    <s v="20.2026"/>
    <s v="08 INFR SERVIC Y SUMIN DCH"/>
    <x v="0"/>
    <s v="CDEE"/>
    <s v="MANT &amp; PLANIF SUMINISTRO ELECTRICO"/>
    <s v="CGSSERME"/>
    <s v="Preventivo Predictivo"/>
    <s v="020"/>
    <s v="110462292"/>
    <s v="Insp. 4M S/E Dist. 13.8 kV Mina"/>
    <s v="PL"/>
    <s v="LIB. NLIQ PLAN"/>
    <n v="0"/>
    <n v="0"/>
    <n v="1"/>
    <x v="1"/>
  </r>
  <r>
    <x v="0"/>
    <x v="0"/>
    <s v="20.2026"/>
    <s v="08 INFR SERVIC Y SUMIN DCH"/>
    <x v="0"/>
    <s v="CDEE"/>
    <s v="MANT &amp; PLANIF SUMINISTRO ELECTRICO"/>
    <s v="CGSSERME"/>
    <s v="Preventivo Sistemático"/>
    <s v="010"/>
    <s v="109124261"/>
    <s v="LAVADO DE AISLADORES LINEA 12"/>
    <s v="PL"/>
    <s v="NOTI CTEC JBFI NLIQ PWF  RESA PLAN"/>
    <n v="100"/>
    <n v="17"/>
    <n v="17"/>
    <x v="0"/>
  </r>
  <r>
    <x v="0"/>
    <x v="0"/>
    <s v="20.2026"/>
    <s v="08 INFR SERVIC Y SUMIN DCH"/>
    <x v="0"/>
    <s v="CDEE"/>
    <s v="MANT &amp; PLANIF SUMINISTRO ELECTRICO"/>
    <s v="CGSSERME"/>
    <s v="Preventivo Sistemático"/>
    <s v="010"/>
    <s v="110138614"/>
    <s v="Mantención Protecc. S/E Planta de CAL"/>
    <s v="PL"/>
    <s v="CTEC NLIQ PLAN"/>
    <n v="0"/>
    <n v="0"/>
    <n v="2"/>
    <x v="1"/>
  </r>
  <r>
    <x v="0"/>
    <x v="0"/>
    <s v="20.2026"/>
    <s v="08 INFR SERVIC Y SUMIN DCH"/>
    <x v="0"/>
    <s v="CDEE"/>
    <s v="MANT &amp; PLANIF SUMINISTRO ELECTRICO"/>
    <s v="CGSSERME"/>
    <s v="Preventivo Sistemático"/>
    <s v="010"/>
    <s v="110443469"/>
    <s v="INSPECCION MT CHANCADO PRIMARIO PTMP"/>
    <s v="PL"/>
    <s v="NOTI CTEC JBFI NLIQ PWF  RESA PLAN"/>
    <n v="100"/>
    <n v="1"/>
    <n v="1"/>
    <x v="0"/>
  </r>
  <r>
    <x v="0"/>
    <x v="0"/>
    <s v="20.2026"/>
    <s v="08 INFR SERVIC Y SUMIN DCH"/>
    <x v="0"/>
    <s v="CHSS-SE"/>
    <s v="MANT &amp; PLANIF SUMINISTRO ELECTRICO"/>
    <s v="CGSSERME"/>
    <s v="Correctivo Planificado"/>
    <s v="025"/>
    <s v="110287184"/>
    <s v="STN HAB. ALARMAS CARG. 125VDC S/E CHUQUI"/>
    <s v="PL"/>
    <s v="LIB. NLIQ PLAN"/>
    <n v="0"/>
    <n v="0"/>
    <n v="1"/>
    <x v="1"/>
  </r>
  <r>
    <x v="0"/>
    <x v="0"/>
    <s v="20.2026"/>
    <s v="08 INFR SERVIC Y SUMIN DCH"/>
    <x v="0"/>
    <s v="CHSS-SE"/>
    <s v="MANT &amp; PLANIF SUMINISTRO ELECTRICO"/>
    <s v="CGSSERME"/>
    <s v="Correctivo Planificado"/>
    <s v="025"/>
    <s v="110304322"/>
    <s v="Toma Mstra Aceite Equ Crít.2° Sem. SAG16"/>
    <s v="PL"/>
    <s v="LIB. NLIQ PLAN"/>
    <n v="0"/>
    <n v="0"/>
    <n v="4"/>
    <x v="1"/>
  </r>
  <r>
    <x v="0"/>
    <x v="0"/>
    <s v="20.2026"/>
    <s v="08 INFR SERVIC Y SUMIN DCH"/>
    <x v="0"/>
    <s v="CHSS-SE"/>
    <s v="MANT &amp; PLANIF SUMINISTRO ELECTRICO"/>
    <s v="CGSSERME"/>
    <s v="Correctivo Planificado"/>
    <s v="025"/>
    <s v="110304324"/>
    <s v="Toma Mstra Aceite EquCrít 2°Sem T7A SE10"/>
    <s v="PL"/>
    <s v="NOTI CTEC JBFI NLIQ PWF  RESA PLAN"/>
    <n v="100"/>
    <n v="1"/>
    <n v="1"/>
    <x v="0"/>
  </r>
  <r>
    <x v="0"/>
    <x v="0"/>
    <s v="20.2026"/>
    <s v="08 INFR SERVIC Y SUMIN DCH"/>
    <x v="0"/>
    <s v="CHSS-SE"/>
    <s v="MANT &amp; PLANIF SUMINISTRO ELECTRICO"/>
    <s v="CGSSERME"/>
    <s v="Correctivo Planificado"/>
    <s v="025"/>
    <s v="110304325"/>
    <s v="Toma Mstra Aceit EquCrít 2°Sem T13 SE10A"/>
    <s v="PL"/>
    <s v="LIB. NLIQ PLAN"/>
    <n v="0"/>
    <n v="0"/>
    <n v="1"/>
    <x v="1"/>
  </r>
  <r>
    <x v="0"/>
    <x v="0"/>
    <s v="20.2026"/>
    <s v="08 INFR SERVIC Y SUMIN DCH"/>
    <x v="0"/>
    <s v="CHSS-SE"/>
    <s v="MANT &amp; PLANIF SUMINISTRO ELECTRICO"/>
    <s v="CGSSERME"/>
    <s v="Correctivo Planificado"/>
    <s v="025"/>
    <s v="110416702"/>
    <s v="AP. Y CERT. PRB TRANSFORMADOR SOPLADOR 8"/>
    <s v="PL"/>
    <s v="LIB. NLIQ PLAN"/>
    <n v="0"/>
    <n v="0"/>
    <n v="1"/>
    <x v="1"/>
  </r>
  <r>
    <x v="0"/>
    <x v="0"/>
    <s v="20.2026"/>
    <s v="08 INFR SERVIC Y SUMIN DCH"/>
    <x v="0"/>
    <s v="CHSS-SE"/>
    <s v="MANT &amp; PLANIF SUMINISTRO ELECTRICO"/>
    <s v="CGSSERME"/>
    <s v="Preventivo Predictivo"/>
    <s v="020"/>
    <s v="110427496"/>
    <s v="MED.DESCARGAS PARCIALES S/E TCHITACk TR2"/>
    <s v="PL"/>
    <s v="NOTI CTEC JBFI NLIQ PWF  RESA PLAN"/>
    <n v="100"/>
    <n v="1"/>
    <n v="1"/>
    <x v="0"/>
  </r>
  <r>
    <x v="0"/>
    <x v="0"/>
    <s v="20.2026"/>
    <s v="08 INFR SERVIC Y SUMIN DCH"/>
    <x v="0"/>
    <s v="CHSS-SE"/>
    <s v="MANT &amp; PLANIF SUMINISTRO ELECTRICO"/>
    <s v="CGSSERME"/>
    <s v="Preventivo Predictivo"/>
    <s v="020"/>
    <s v="110443695"/>
    <s v="MEDICIÓN DESCARGAS PARCIALES ATR2"/>
    <s v="PL"/>
    <s v="NOTI CTEC JBFI NLIQ PWF  RESA PLAN"/>
    <n v="100"/>
    <n v="1"/>
    <n v="1"/>
    <x v="0"/>
  </r>
  <r>
    <x v="0"/>
    <x v="0"/>
    <s v="20.2026"/>
    <s v="08 INFR SERVIC Y SUMIN DCH"/>
    <x v="0"/>
    <s v="CHSS-SE"/>
    <s v="MANT &amp; PLANIF SUMINISTRO ELECTRICO"/>
    <s v="CGSSERME"/>
    <s v="Preventivo Predictivo"/>
    <s v="020"/>
    <s v="110473175"/>
    <s v="TOMA MUESTRA ACEITE S/E CHUQUICAMAT ATR1"/>
    <s v="PL"/>
    <s v="NOTI CTEC JBFI NLIQ PWF  RESA PLAN"/>
    <n v="100"/>
    <n v="4"/>
    <n v="4"/>
    <x v="0"/>
  </r>
  <r>
    <x v="0"/>
    <x v="0"/>
    <s v="20.2026"/>
    <s v="08 INFR SERVIC Y SUMIN DCH"/>
    <x v="0"/>
    <s v="CHSS-SE"/>
    <s v="MANT &amp; PLANIF SUMINISTRO ELECTRICO"/>
    <s v="CGSSERME"/>
    <s v="Preventivo Predictivo"/>
    <s v="020"/>
    <s v="110486153"/>
    <s v="TOMA MUESTRA ACEITE S/E TCHITACK TR2"/>
    <s v="PL"/>
    <s v="NOTI CTEC JBFI NLIQ PWF  RESA PLAN"/>
    <n v="100"/>
    <n v="4"/>
    <n v="4"/>
    <x v="0"/>
  </r>
  <r>
    <x v="0"/>
    <x v="0"/>
    <s v="20.2026"/>
    <s v="08 INFR SERVIC Y SUMIN DCH"/>
    <x v="0"/>
    <s v="CHSS-SE"/>
    <s v="MANT &amp; PLANIF SUMINISTRO ELECTRICO"/>
    <s v="CGSSERME"/>
    <s v="Preventivo Predictivo"/>
    <s v="020"/>
    <s v="110494994"/>
    <s v="TOMA MUESTRA ACEITE S/E TCHITACK TR1"/>
    <s v="PL"/>
    <s v="NOTI CTEC JBFI NLIQ PWF  RESA PLAN"/>
    <n v="100"/>
    <n v="4"/>
    <n v="4"/>
    <x v="0"/>
  </r>
  <r>
    <x v="0"/>
    <x v="0"/>
    <s v="20.2026"/>
    <s v="08 INFR SERVIC Y SUMIN DCH"/>
    <x v="0"/>
    <s v="CHSS-SE"/>
    <s v="MANT &amp; PLANIF SUMINISTRO ELECTRICO"/>
    <s v="CGSSERME"/>
    <s v="Preventivo Sistemático"/>
    <s v="010"/>
    <s v="109151319"/>
    <s v="Mant. Distrib. 13,8 Kv  Trafo 2B  S/E 10"/>
    <s v="PL"/>
    <s v="LIB. NLIQ PLAN"/>
    <n v="0"/>
    <n v="0"/>
    <n v="5"/>
    <x v="1"/>
  </r>
  <r>
    <x v="0"/>
    <x v="0"/>
    <s v="20.2026"/>
    <s v="08 INFR SERVIC Y SUMIN DCH"/>
    <x v="0"/>
    <s v="CHSS-SE"/>
    <s v="MANT &amp; PLANIF SUMINISTRO ELECTRICO"/>
    <s v="CGSSERME"/>
    <s v="Preventivo Sistemático"/>
    <s v="010"/>
    <s v="110439645"/>
    <s v="Inspección 2M S/E Sopladores"/>
    <s v="PL"/>
    <s v="NOTI CTEC JBFI NLIQ PWF  RESA PLAN"/>
    <n v="100"/>
    <n v="1"/>
    <n v="1"/>
    <x v="0"/>
  </r>
  <r>
    <x v="0"/>
    <x v="0"/>
    <s v="20.2026"/>
    <s v="08 INFR SERVIC Y SUMIN DCH"/>
    <x v="0"/>
    <s v="CHSS-SE"/>
    <s v="MANT &amp; PLANIF SUMINISTRO ELECTRICO"/>
    <s v="CGSSERME"/>
    <s v="Preventivo Sistemático"/>
    <s v="010"/>
    <s v="110439646"/>
    <s v="Inspección 2M S/E K-1"/>
    <s v="PL"/>
    <s v="NOTI CTEC JBFI NLIQ PWF  RESA PLAN"/>
    <n v="100"/>
    <n v="1"/>
    <n v="1"/>
    <x v="0"/>
  </r>
  <r>
    <x v="0"/>
    <x v="0"/>
    <s v="20.2026"/>
    <s v="08 INFR SERVIC Y SUMIN DCH"/>
    <x v="0"/>
    <s v="CHSS-SE"/>
    <s v="MANT &amp; PLANIF SUMINISTRO ELECTRICO"/>
    <s v="CGSSERME"/>
    <s v="Preventivo Sistemático"/>
    <s v="010"/>
    <s v="110439647"/>
    <s v="Termografía 2M S/E Sopladores"/>
    <s v="PL"/>
    <s v="NOTI CTEC JBFI NLIQ PWF  RESA PLAN"/>
    <n v="100"/>
    <n v="1"/>
    <n v="1"/>
    <x v="0"/>
  </r>
  <r>
    <x v="0"/>
    <x v="0"/>
    <s v="20.2026"/>
    <s v="08 INFR SERVIC Y SUMIN DCH"/>
    <x v="0"/>
    <s v="CHSS-SE"/>
    <s v="MANT &amp; PLANIF SUMINISTRO ELECTRICO"/>
    <s v="CGSSERME"/>
    <s v="Preventivo Sistemático"/>
    <s v="010"/>
    <s v="110439648"/>
    <s v="Termografía 2M S/E K-1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39860"/>
    <s v="INSPECCION SISTEMA SAPCI S/E KM6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39861"/>
    <s v="INSPECCION SISTEMA SAPCI S/E 10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39864"/>
    <s v="INSPECCION SISTEMA SAPCI S/E CHUQUICAMAT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39865"/>
    <s v="INSPECCION SISTEMA SAPCI  S/E SUB-A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73454"/>
    <s v="INSPECCIÓN SAPCI S/E K1 TRAFO 1-2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73455"/>
    <s v="INSPECCION SAPCI S/E K1 TRAFO 3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73457"/>
    <s v="INSPECCION SAPCI S/E SOPLADORES TRAFO 1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73466"/>
    <s v="INSPECCION SAPCI S/E TCHITACK SALA SCADA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73479"/>
    <s v="INSPECCION SAPCI S/E TCHITACK GIS 220KV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Predictivo"/>
    <s v="020"/>
    <s v="110473484"/>
    <s v="INSPECCION SAPCI S/E TCHITACK GIS 34,5KV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Sistemático"/>
    <s v="010"/>
    <s v="110473462"/>
    <s v="INSPECCI SAPCI S/E SOPLADORES GIS 13,8KV"/>
    <s v="PL"/>
    <s v="NOTI CTEC JBFI NLIQ PWF  RESA PLAN"/>
    <n v="100"/>
    <n v="1"/>
    <n v="1"/>
    <x v="0"/>
  </r>
  <r>
    <x v="0"/>
    <x v="0"/>
    <s v="20.2026"/>
    <s v="08 INFR SERVIC Y SUMIN DCH"/>
    <x v="1"/>
    <s v="03 SIST. C.INCENDIO INFRA DCH"/>
    <s v="MANT &amp; PLANIF SUMINISTRO ELECTRICO"/>
    <s v="CGSSERME"/>
    <s v="Preventivo Sistemático"/>
    <s v="010"/>
    <s v="110473475"/>
    <s v="INSPECCION SAPCI S/E TCHITACK SALA GIS"/>
    <s v="PL"/>
    <s v="NOTI CTEC JBFI NLIQ PWF  RESA PLAN"/>
    <n v="100"/>
    <n v="1"/>
    <n v="1"/>
    <x v="0"/>
  </r>
  <r>
    <x v="0"/>
    <x v="0"/>
    <s v="20.2026"/>
    <s v="08 INFR SERVIC Y SUMIN DCH"/>
    <x v="1"/>
    <s v="05 RESPAL. E.ELEC. INFRA DCH"/>
    <s v="MANT &amp; PLANIF SUMINISTRO ELECTRICO"/>
    <s v="CGSSERME"/>
    <s v="Preventivo Sistemático"/>
    <s v="010"/>
    <s v="110251289"/>
    <s v="BANCO BATERIAS N°1  SALA S/E K1"/>
    <s v="PL"/>
    <s v="NOTI CTEC JBFI NLIQ PWF  RESA PLAN"/>
    <n v="100"/>
    <n v="1"/>
    <n v="1"/>
    <x v="0"/>
  </r>
  <r>
    <x v="0"/>
    <x v="0"/>
    <s v="20.2026"/>
    <s v="08 INFR SERVIC Y SUMIN DCH"/>
    <x v="1"/>
    <s v="05 RESPAL. E.ELEC. INFRA DCH"/>
    <s v="MANT &amp; PLANIF SUMINISTRO ELECTRICO"/>
    <s v="CGSSERME"/>
    <s v="Preventivo Sistemático"/>
    <s v="010"/>
    <s v="110251290"/>
    <s v="BANCO BATERIAS N°2  SALA S/E K1"/>
    <s v="PL"/>
    <s v="NOTI CTEC JBFI NLIQ PWF  RESA PLAN"/>
    <n v="100"/>
    <n v="1"/>
    <n v="1"/>
    <x v="0"/>
  </r>
  <r>
    <x v="0"/>
    <x v="0"/>
    <s v="20.2026"/>
    <s v="08 INFR SERVIC Y SUMIN DCH"/>
    <x v="1"/>
    <s v="05 RESPAL. E.ELEC. INFRA DCH"/>
    <s v="MANT &amp; PLANIF SUMINISTRO ELECTRICO"/>
    <s v="CGSSERME"/>
    <s v="Preventivo Sistemático"/>
    <s v="010"/>
    <s v="110251291"/>
    <s v="CARGADOR BATERIAS N°1 SALA S/E K1"/>
    <s v="PL"/>
    <s v="NOTI CTEC JBFI NLIQ PWF  RESA PLAN"/>
    <n v="100"/>
    <n v="1"/>
    <n v="1"/>
    <x v="0"/>
  </r>
  <r>
    <x v="0"/>
    <x v="0"/>
    <s v="20.2026"/>
    <s v="08 INFR SERVIC Y SUMIN DCH"/>
    <x v="1"/>
    <s v="05 RESPAL. E.ELEC. INFRA DCH"/>
    <s v="MANT &amp; PLANIF SUMINISTRO ELECTRICO"/>
    <s v="CGSSERME"/>
    <s v="Preventivo Sistemático"/>
    <s v="010"/>
    <s v="110251292"/>
    <s v="CARGADOR BATERIAS N°2 SALA S/E K1"/>
    <s v="PL"/>
    <s v="NOTI CTEC JBFI NLIQ PWF  RESA PLAN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037716"/>
    <s v="Cambio de calefactor de aceite Comp N°2"/>
    <s v="PL"/>
    <s v="NOTI JBFI LIB. NLIQ PLAN PWF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037716"/>
    <s v="Cambio de calefactor de aceite Comp N°2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098394"/>
    <s v="Cambio filtros de admisión C-1"/>
    <s v="PL"/>
    <s v="NOTI JBFI LIB. NLIQ PLAN PWF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098394"/>
    <s v="Cambio filtros de admisión C-1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098395"/>
    <s v="Cambio filtros de admisión C-2"/>
    <s v="PL"/>
    <s v="NOTI JBFI LIB. NLIQ PLAN PWF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098395"/>
    <s v="Cambio filtros de admisión C-2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171579"/>
    <s v="Cambio de bba enfriadera C-1 CTS"/>
    <s v="PL"/>
    <s v="NOTI JBFI LIB. NLIQ PLAN PWF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171579"/>
    <s v="Cambio de bba enfriadera C-1 CTS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229554"/>
    <s v="Normalización de líneas agua/aire/aceite"/>
    <s v="PL"/>
    <s v="NOTI JBFI LIB. NLIQ PLAN PWF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229554"/>
    <s v="Normalización de líneas agua/aire/aceite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466750"/>
    <s v="Cambio vvla venteo/filtros C-1"/>
    <s v="PL"/>
    <s v="NOTI JBFI LIB. NLIQ PLAN PWF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466750"/>
    <s v="Cambio vvla venteo/filtros C-1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526314"/>
    <s v="Normalización líneas AG/VA/AI C-90 psi.}"/>
    <s v="PL"/>
    <s v="NOTI JBFI LIB. NLIQ PLAN PWF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526314"/>
    <s v="Normalización líneas AG/VA/AI C-90 psi.}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526486"/>
    <s v="Normalización línea agua enfriadera C-28"/>
    <s v="PL"/>
    <s v="NOTI CTEC JBFI NLIQ PWF  RESA PLAN"/>
    <n v="0"/>
    <n v="0"/>
    <n v="1"/>
    <x v="1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526486"/>
    <s v="Normalización línea agua enfriadera C-28"/>
    <s v="PL"/>
    <s v="NOTI CTEC JBFI NLIQ PWF PLAN"/>
    <n v="0"/>
    <n v="0"/>
    <n v="2"/>
    <x v="1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527858"/>
    <s v="Normalización línea hidrociclón C-24."/>
    <s v="PL"/>
    <s v="NOTI JBFI LIB. NLIQ PLAN PWF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527858"/>
    <s v="Normalización línea hidrociclón C-24.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671213"/>
    <s v="Mejorar sistema filtros de admisión CTR"/>
    <s v="PL"/>
    <s v="NOTI JBFI LIB. NLIQ PLAN PWF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671213"/>
    <s v="Mejorar sistema filtros de admisión CTR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726769"/>
    <s v="Reemplazo panel de control compresor 20"/>
    <s v="PL"/>
    <s v="NOTI JBFI LIB. NLIQ PLAN PWF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09726769"/>
    <s v="Reemplazo panel de control compresor 20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085717"/>
    <s v="Cambio bomba N°1 Compresor 29 DESGASTE"/>
    <s v="PL"/>
    <s v="NOTI JBFI LIB. NLIQ PLAN PWF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085717"/>
    <s v="Cambio bomba N°1 Compresor 29 DESGASTE"/>
    <s v="PL"/>
    <s v="NOTI JBFI LIB. NLIQ PLAN PWF  RESA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3"/>
    <s v="INST BIOMETRICO ACCESO SALA CTR"/>
    <s v="PL"/>
    <s v="NOTI CTEC JBFI NLIQ PWF  RESA PLAN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3"/>
    <s v="INST BIOMETRICO ACCESO SALA CTR"/>
    <s v="PL"/>
    <s v="NOTI CTEC JBFI NLIQ PWF PLAN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7"/>
    <s v="(Q) TRAB PREVIOS MTTO 6M COMP 29"/>
    <s v="PL"/>
    <s v="LIB. NLIQ PLAN"/>
    <n v="0"/>
    <n v="0"/>
    <n v="2"/>
    <x v="1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7"/>
    <s v="(Q) TRAB PREVIOS MTTO 6M COMP 29"/>
    <s v="PL"/>
    <s v="NOTI JBFI LIB. NLIQ PLAN PWF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7"/>
    <s v="(Q) TRAB PREVIOS MTTO 6M COMP 29"/>
    <s v="PL"/>
    <s v="NOTI JBFI LIB. NLIQ PLAN PWF  RESA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7"/>
    <s v="(Q) TRAB PREVIOS MTTO 6M COMP 29"/>
    <s v="PL"/>
    <s v="NOTP LIB. NLIQ PLAN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8"/>
    <s v="3M MTTO BOMBA CIRCULADORA N°2"/>
    <s v="PL"/>
    <s v="NOTI CTEC JBFI NLIQ PWF  RESA PLAN"/>
    <n v="100"/>
    <n v="8"/>
    <n v="8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8"/>
    <s v="3M MTTO BOMBA CIRCULADORA N°2"/>
    <s v="PL"/>
    <s v="NOTI CTEC JBFI NLIQ PWF PLAN"/>
    <n v="100"/>
    <n v="7"/>
    <n v="7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9"/>
    <s v="INST BIOMETRICO ACCESO SALA 09"/>
    <s v="PL"/>
    <s v="NOTI CTEC JBFI NLIQ PWF  RESA PLAN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49"/>
    <s v="INST BIOMETRICO ACCESO SALA 09"/>
    <s v="PL"/>
    <s v="NOTI CTEC JBFI NLIQ PWF PLAN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52"/>
    <s v="INSPECCION SALA ELECTRICA"/>
    <s v="PL"/>
    <s v="NOTI CTEC JBFI NLIQ PWF PLAN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355"/>
    <s v="COMP 20 -CAMBIO DE ENFRIADERA."/>
    <s v="PL"/>
    <s v="NOTI JBFI LIB. NLIQ PLAN PWF  RESA"/>
    <n v="100"/>
    <n v="9"/>
    <n v="9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425"/>
    <s v="48M MTTO COMPRESOR 08"/>
    <s v="PL"/>
    <s v="LIB. NLIQ PLAN"/>
    <n v="0"/>
    <n v="0"/>
    <n v="6"/>
    <x v="1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75425"/>
    <s v="48M MTTO COMPRESOR 08"/>
    <s v="PL"/>
    <s v="NOTI JBFI LIB. NLIQ PLAN PWF  RESA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81437"/>
    <s v="(Q) Limpieza de Linea 10 de CAL"/>
    <s v="PL"/>
    <s v="NOTI JBFI LIB. NLIQ PLAN PWF  RESA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Correctivo Planificado"/>
    <s v="025"/>
    <s v="110481437"/>
    <s v="(Q) Limpieza de Linea 10 de CAL"/>
    <s v="PL"/>
    <s v="NOTP LIB. NLIQ PLAN"/>
    <n v="100"/>
    <n v="1"/>
    <n v="1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288268"/>
    <s v="MRT 12S MEC MTTO CALDERA N°2"/>
    <s v="PL"/>
    <s v="NOTI CTEC JBFI NLIQ PWF  RESA PLAN"/>
    <n v="100"/>
    <n v="7"/>
    <n v="7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288268"/>
    <s v="MRT 12S MEC MTTO CALDERA N°2"/>
    <s v="PL"/>
    <s v="NOTI CTEC JBFI NLIQ PWF PLAN"/>
    <n v="100"/>
    <n v="11"/>
    <n v="11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06270"/>
    <s v="MRT 4S MEC TOMA MUESTRA ACEITE S20"/>
    <s v="PL"/>
    <s v="NOTI CTEC JBFI NLIQ PWF  RESA PLAN"/>
    <n v="100"/>
    <n v="13"/>
    <n v="13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06276"/>
    <s v="MRT 4S LIMPIEZA CANALA EXTERIOR"/>
    <s v="PL"/>
    <s v="NOTI CTEC JBFI NLIQ PWF  RESA PLAN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27749"/>
    <s v="MRT 4S ELEC MTTO UPS N°3"/>
    <s v="PL"/>
    <s v="NOTI CTEC JBFI NLIQ PWF PLAN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27755"/>
    <s v="MRT 4S MTTO MEC BOMBA 2B"/>
    <s v="PL"/>
    <s v="NOTI CTEC JBFI NLIQ PWF  RESA PLAN"/>
    <n v="100"/>
    <n v="4"/>
    <n v="4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27755"/>
    <s v="MRT 4S MTTO MEC BOMBA 2B"/>
    <s v="PL"/>
    <s v="NOTI CTEC JBFI NLIQ PWF PLAN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32882"/>
    <s v="MRT 1S MEC LIMPIEZA MOLINO HARDINGE 1"/>
    <s v="PL"/>
    <s v="NOTI CTEC JBFI NLIQ PWF  RESA PLAN"/>
    <n v="100"/>
    <n v="14"/>
    <n v="14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32883"/>
    <s v="MRT 1S MEC LIMPIEZA MOLINO HARDINGE 2"/>
    <s v="PL"/>
    <s v="NOTI CTEC JBFI NLIQ PWF  RESA PLAN"/>
    <n v="100"/>
    <n v="14"/>
    <n v="14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32884"/>
    <s v="MRT 1S MEC LIMPIEZA MOLINO TORRE"/>
    <s v="PL"/>
    <s v="NOTI CTEC JBFI NLIQ PWF  RESA PLAN"/>
    <n v="100"/>
    <n v="11"/>
    <n v="11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32884"/>
    <s v="MRT 1S MEC LIMPIEZA MOLINO TORRE"/>
    <s v="PL"/>
    <s v="NOTI CTEC JBFI NLIQ PWF PLAN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32887"/>
    <s v="MRT 1S MEC LIMPIEZA AEROVENTILADORES"/>
    <s v="PL"/>
    <s v="NOTI CTEC JBFI NLIQ PWF  RESA PLAN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32887"/>
    <s v="MRT 1S MEC LIMPIEZA AEROVENTILADORES"/>
    <s v="PL"/>
    <s v="NOTI CTEC JBFI NLIQ PWF PLAN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32892"/>
    <s v="MRT 1S MTTO CORREA 132"/>
    <s v="PL"/>
    <s v="NOTI CTEC JBFI NLIQ PWF  RESA PLAN"/>
    <n v="100"/>
    <n v="7"/>
    <n v="7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32893"/>
    <s v="MRT 1S MTTO CORREA 129"/>
    <s v="PL"/>
    <s v="NOTI CTEC JBFI NLIQ PWF  RESA PLAN"/>
    <n v="100"/>
    <n v="7"/>
    <n v="7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32896"/>
    <s v="MRT 1S LIMPIEZA FILTRO DE MANGA"/>
    <s v="PL"/>
    <s v="NOTI CTEC JBFI NLIQ PWF  RESA PLAN"/>
    <n v="100"/>
    <n v="4"/>
    <n v="4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47996"/>
    <s v="MRT 3S MEC MTTO ANÁLISIS VIBRACIONES PHC"/>
    <s v="PL"/>
    <s v="LIB. NLIQ PLAN"/>
    <n v="0"/>
    <n v="0"/>
    <n v="6"/>
    <x v="1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47996"/>
    <s v="MRT 3S MEC MTTO ANÁLISIS VIBRACIONES PHC"/>
    <s v="PL"/>
    <s v="NOTI JBFI LIB. NLIQ PLAN PWF  RESA"/>
    <n v="100"/>
    <n v="13"/>
    <n v="13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47997"/>
    <s v="MRT 4S MTTO MEC CORREA 04"/>
    <s v="PL"/>
    <s v="NOTI CTEC JBFI NLIQ PWF  RESA PLAN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47997"/>
    <s v="MRT 4S MTTO MEC CORREA 04"/>
    <s v="PL"/>
    <s v="NOTI CTEC JBFI NLIQ PWF PLAN"/>
    <n v="100"/>
    <n v="4"/>
    <n v="4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47998"/>
    <s v="MRT 4S MTTO MEC CORREA 129A"/>
    <s v="PL"/>
    <s v="NOTI CTEC JBFI NLIQ PWF  RESA PLAN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47998"/>
    <s v="MRT 4S MTTO MEC CORREA 129A"/>
    <s v="PL"/>
    <s v="NOTI CTEC JBFI NLIQ PWF PLAN"/>
    <n v="100"/>
    <n v="4"/>
    <n v="4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47999"/>
    <s v="MRT 4S MTTO MEC CAJON BOMBAS MT"/>
    <s v="PL"/>
    <s v="NOTI CTEC JBFI NLIQ PWF  RESA PLAN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47999"/>
    <s v="MRT 4S MTTO MEC CAJON BOMBAS MT"/>
    <s v="PL"/>
    <s v="NOTI CTEC JBFI NLIQ PWF PLAN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68682"/>
    <s v="MRT 4S MEC INSP SOPLADOR N°6"/>
    <s v="PL"/>
    <s v="NOTI CTEC JBFI NLIQ PWF  RESA PLAN"/>
    <n v="100"/>
    <n v="2"/>
    <n v="2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68682"/>
    <s v="MRT 4S MEC INSP SOPLADOR N°6"/>
    <s v="PL"/>
    <s v="NOTI CTEC JBFI NLIQ PWF PLAN"/>
    <n v="100"/>
    <n v="23"/>
    <n v="23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68794"/>
    <s v="MRT 2S LIMPIEZA FLEXIBILIDAD OPERATIVA"/>
    <s v="PL"/>
    <s v="NOTI CTEC JBFI NLIQ PWF  RESA PLAN"/>
    <n v="100"/>
    <n v="4"/>
    <n v="4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78068"/>
    <s v="MRT 6M MTTO COMPRESOR N°20"/>
    <s v="PL"/>
    <s v="LIB. NLIQ PLAN"/>
    <n v="0"/>
    <n v="0"/>
    <n v="7"/>
    <x v="1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78068"/>
    <s v="MRT 6M MTTO COMPRESOR N°20"/>
    <s v="PL"/>
    <s v="NOTI JBFI LIB. NLIQ PLAN PWF"/>
    <n v="100"/>
    <n v="3"/>
    <n v="3"/>
    <x v="0"/>
  </r>
  <r>
    <x v="1"/>
    <x v="1"/>
    <s v="20.2026"/>
    <s v="08 INFR SERVIC Y SUMIN DCH"/>
    <x v="2"/>
    <s v="CHSS-SU"/>
    <s v="MANT &amp; PLANIF CENTRAL TERMICA SULFUROS"/>
    <s v="CGSTMRMM"/>
    <s v="Preventivo Sistemático"/>
    <s v="010"/>
    <s v="110478068"/>
    <s v="MRT 6M MTTO COMPRESOR N°20"/>
    <s v="PL"/>
    <s v="NOTI JBFI LIB. NLIQ PLAN PWF  RESA"/>
    <n v="41.176470588235297"/>
    <n v="7"/>
    <n v="17"/>
    <x v="1"/>
  </r>
  <r>
    <x v="1"/>
    <x v="1"/>
    <s v="20.2026"/>
    <s v="08 INFR SERVIC Y SUMIN DCH"/>
    <x v="1"/>
    <s v="02 GRUAS INFRA DCH"/>
    <s v="MANT &amp; PLANIF CENTRAL TERMICA SULFUROS"/>
    <s v="CGSTMRMM"/>
    <s v="Correctivo Planificado"/>
    <s v="025"/>
    <s v="110055375"/>
    <s v="R-Habilitacion Monorriel PisoAftercooler"/>
    <s v="PL"/>
    <s v="LIB. NLIQ PLAN"/>
    <n v="0"/>
    <n v="0"/>
    <n v="1"/>
    <x v="1"/>
  </r>
  <r>
    <x v="1"/>
    <x v="1"/>
    <s v="20.2026"/>
    <s v="08 INFR SERVIC Y SUMIN DCH"/>
    <x v="1"/>
    <s v="02 GRUAS INFRA DCH"/>
    <s v="MANT &amp; PLANIF CENTRAL TERMICA SULFUROS"/>
    <s v="CGSTMRMM"/>
    <s v="Correctivo Planificado"/>
    <s v="025"/>
    <s v="110438558"/>
    <s v="MTTO MR KITO 1 TON LADO OESTE, NAVE COMP"/>
    <s v="PL"/>
    <s v="LIB. NLIQ PLAN"/>
    <n v="0"/>
    <n v="0"/>
    <n v="1"/>
    <x v="1"/>
  </r>
  <r>
    <x v="1"/>
    <x v="1"/>
    <s v="20.2026"/>
    <s v="08 INFR SERVIC Y SUMIN DCH"/>
    <x v="1"/>
    <s v="02 GRUAS INFRA DCH"/>
    <s v="MANT &amp; PLANIF CENTRAL TERMICA SULFUROS"/>
    <s v="CGSTMRMM"/>
    <s v="Preventivo Sistemático"/>
    <s v="010"/>
    <s v="110362744"/>
    <s v="(Q) MRT 4S MEC MTTO PTE GRUA SOPLADORES"/>
    <s v="PL"/>
    <s v="CTEC NLIQ PLAN"/>
    <n v="0"/>
    <n v="0"/>
    <n v="9"/>
    <x v="1"/>
  </r>
  <r>
    <x v="1"/>
    <x v="1"/>
    <s v="20.2026"/>
    <s v="08 INFR SERVIC Y SUMIN DCH"/>
    <x v="1"/>
    <s v="02 GRUAS INFRA DCH"/>
    <s v="MANT &amp; PLANIF CENTRAL TERMICA SULFUROS"/>
    <s v="CGSTMRMM"/>
    <s v="Preventivo Sistemático"/>
    <s v="010"/>
    <s v="110436792"/>
    <s v="MRT 16S MEC MTTO PUENTE GRUA SALA COMP"/>
    <s v="PL"/>
    <s v="NOTI JBFI LIB. NLIQ PLAN PWF  RESA"/>
    <n v="100"/>
    <n v="9"/>
    <n v="9"/>
    <x v="0"/>
  </r>
  <r>
    <x v="1"/>
    <x v="1"/>
    <s v="20.2026"/>
    <s v="08 INFR SERVIC Y SUMIN DCH"/>
    <x v="1"/>
    <s v="02 GRUAS INFRA DCH"/>
    <s v="MANT &amp; PLANIF CENTRAL TERMICA SULFUROS"/>
    <s v="CGSTMRMM"/>
    <s v="Preventivo Sistemático"/>
    <s v="010"/>
    <s v="110462343"/>
    <s v="MRT 12S MEC MTTO PUENTE GRUA NAVE COMP"/>
    <s v="PL"/>
    <s v="LIB. NLIQ PLAN"/>
    <n v="0"/>
    <n v="0"/>
    <n v="9"/>
    <x v="1"/>
  </r>
  <r>
    <x v="1"/>
    <x v="1"/>
    <s v="20.2026"/>
    <s v="08 INFR SERVIC Y SUMIN DCH"/>
    <x v="1"/>
    <s v="05 RESPAL. E.ELEC. INFRA DCH"/>
    <s v="MANT &amp; PLANIF CENTRAL TERMICA SULFUROS"/>
    <s v="CGSTMRMM"/>
    <s v="Preventivo Sistemático"/>
    <s v="010"/>
    <s v="110277899"/>
    <s v="MRT 4S INST INSP CARGA BATERIAS G3"/>
    <s v="PL"/>
    <s v="NOTI CTEC JBFI NLIQ PWF PLAN"/>
    <n v="100"/>
    <n v="1"/>
    <n v="1"/>
    <x v="0"/>
  </r>
  <r>
    <x v="1"/>
    <x v="1"/>
    <s v="20.2026"/>
    <s v="08 INFR SERVIC Y SUMIN DCH"/>
    <x v="1"/>
    <s v="05 RESPAL. E.ELEC. INFRA DCH"/>
    <s v="MANT &amp; PLANIF CENTRAL TERMICA SULFUROS"/>
    <s v="CGSTMRMM"/>
    <s v="Preventivo Sistemático"/>
    <s v="010"/>
    <s v="110277900"/>
    <s v="MRT 4S INST INSP CARGA BATERIAS G4"/>
    <s v="PL"/>
    <s v="NOTI CTEC JBFI NLIQ PWF PLAN"/>
    <n v="100"/>
    <n v="1"/>
    <n v="1"/>
    <x v="0"/>
  </r>
  <r>
    <x v="1"/>
    <x v="1"/>
    <s v="20.2026"/>
    <s v="08 INFR SERVIC Y SUMIN DCH"/>
    <x v="1"/>
    <s v="05 RESPAL. E.ELEC. INFRA DCH"/>
    <s v="MANT &amp; PLANIF CENTRAL TERMICA SULFUROS"/>
    <s v="CGSTMRMM"/>
    <s v="Preventivo Sistemático"/>
    <s v="010"/>
    <s v="110427659"/>
    <s v="MRT 4S INST INSP CARGA BATERIAS G1"/>
    <s v="PL"/>
    <s v="NOTI CTEC JBFI NLIQ PWF PLAN"/>
    <n v="100"/>
    <n v="1"/>
    <n v="1"/>
    <x v="0"/>
  </r>
  <r>
    <x v="1"/>
    <x v="1"/>
    <s v="20.2026"/>
    <s v="08 INFR SERVIC Y SUMIN DCH"/>
    <x v="1"/>
    <s v="05 RESPAL. E.ELEC. INFRA DCH"/>
    <s v="MANT &amp; PLANIF CENTRAL TERMICA SULFUROS"/>
    <s v="CGSTMRMM"/>
    <s v="Preventivo Sistemático"/>
    <s v="010"/>
    <s v="110427660"/>
    <s v="MRT 4S INST INSP CARGA BATERIAS G2"/>
    <s v="PL"/>
    <s v="NOTI CTEC JBFI NLIQ PWF PLAN"/>
    <n v="100"/>
    <n v="1"/>
    <n v="1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20.2026"/>
    <s v="08 INFR SERVIC Y SUMIN DCH"/>
    <x v="0"/>
    <s v="CDEE"/>
    <x v="0"/>
    <x v="0"/>
    <s v="010"/>
    <s v="Preventivo Sistemático"/>
    <s v="110415552"/>
    <s v="Mantención Paño Trafo Nº13 S/E A"/>
    <s v="ABIE FENA IMOP KKMP PREC ENET"/>
    <s v="PL"/>
    <s v="MANT &amp; PLANIF SUMINISTRO ELECTRICO"/>
    <s v="CGSSERME"/>
    <n v="0"/>
    <n v="0"/>
    <n v="1"/>
    <n v="0"/>
    <n v="20"/>
    <x v="0"/>
  </r>
  <r>
    <s v="20.2026"/>
    <s v="08 INFR SERVIC Y SUMIN DCH"/>
    <x v="0"/>
    <s v="CDEE"/>
    <x v="0"/>
    <x v="0"/>
    <s v="020"/>
    <s v="Preventivo Predictivo"/>
    <s v="110459257"/>
    <s v="Insp. 4M S/E Dist. 13.8 kV Fundición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0"/>
    <s v="CDEE"/>
    <x v="0"/>
    <x v="0"/>
    <s v="020"/>
    <s v="Preventivo Predictivo"/>
    <s v="110330383"/>
    <s v="Insp. 4M S/E Dist. 13.8 kV Refinería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0"/>
    <s v="CHSS-SE"/>
    <x v="0"/>
    <x v="0"/>
    <s v="010"/>
    <s v="Preventivo Sistemático"/>
    <s v="110439648"/>
    <s v="Termografía 2M S/E K-1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0"/>
    <s v="CHSS-SE"/>
    <x v="0"/>
    <x v="0"/>
    <s v="010"/>
    <s v="Preventivo Sistemático"/>
    <s v="110439647"/>
    <s v="Termografía 2M S/E Sopladores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0"/>
    <s v="CHSS-SE"/>
    <x v="0"/>
    <x v="0"/>
    <s v="010"/>
    <s v="Preventivo Sistemático"/>
    <s v="110439646"/>
    <s v="Inspección 2M S/E K-1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0"/>
    <s v="CHSS-SE"/>
    <x v="0"/>
    <x v="0"/>
    <s v="010"/>
    <s v="Preventivo Sistemático"/>
    <s v="110439645"/>
    <s v="Inspección 2M S/E Sopladores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0"/>
    <s v="CHSS-SE"/>
    <x v="0"/>
    <x v="0"/>
    <s v="020"/>
    <s v="Preventivo Predictivo"/>
    <s v="110473175"/>
    <s v="TOMA MUESTRA ACEITE S/E CHUQUICAMAT ATR1"/>
    <s v="CTEC NOTI DOCU IMOP JBFI KKMP PREC PROG"/>
    <s v="PL"/>
    <s v="MANT &amp; PLANIF SUMINISTRO ELECTRICO"/>
    <s v="CGSSERME"/>
    <n v="100"/>
    <n v="1"/>
    <n v="1"/>
    <n v="4"/>
    <n v="4"/>
    <x v="1"/>
  </r>
  <r>
    <s v="20.2026"/>
    <s v="08 INFR SERVIC Y SUMIN DCH"/>
    <x v="0"/>
    <s v="CHSS-SE"/>
    <x v="0"/>
    <x v="0"/>
    <s v="020"/>
    <s v="Preventivo Predictivo"/>
    <s v="110444787"/>
    <s v="Insp. Mensual S/E Tchitack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0"/>
    <s v="CHSS-SE"/>
    <x v="0"/>
    <x v="0"/>
    <s v="020"/>
    <s v="Preventivo Predictivo"/>
    <s v="110422716"/>
    <s v="MEDICIÓN DESCARGAS PARCIALES ATR1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1"/>
    <s v="CHSS-SU"/>
    <x v="1"/>
    <x v="1"/>
    <s v="010"/>
    <s v="Preventivo Sistemático"/>
    <s v="110478068"/>
    <s v="MRT 6M MTTO COMPRESOR N°20"/>
    <s v="LIB. NOTP DOCU IMOP KKMP PREC PROG TRAT"/>
    <s v="PL"/>
    <s v="MANT &amp; PLANIF CENTRAL TERMICA SULFUROS"/>
    <s v="CGSTMRMM"/>
    <n v="74.074074074074076"/>
    <n v="0.7407407407407407"/>
    <n v="1"/>
    <n v="20"/>
    <n v="27"/>
    <x v="0"/>
  </r>
  <r>
    <s v="20.2026"/>
    <s v="08 INFR SERVIC Y SUMIN DCH"/>
    <x v="1"/>
    <s v="CHSS-SU"/>
    <x v="1"/>
    <x v="1"/>
    <s v="010"/>
    <s v="Preventivo Sistemático"/>
    <s v="110468794"/>
    <s v="MRT 2S LIMPIEZA FLEXIBILIDAD OPERATIVA"/>
    <s v="CTEC NOTI DOCU IMOP JBFI KKMP PREC PROG"/>
    <s v="PL"/>
    <s v="MANT &amp; PLANIF CENTRAL TERMICA SULFUROS"/>
    <s v="CGSTMRMM"/>
    <n v="100"/>
    <n v="1"/>
    <n v="1"/>
    <n v="4"/>
    <n v="4"/>
    <x v="1"/>
  </r>
  <r>
    <s v="20.2026"/>
    <s v="08 INFR SERVIC Y SUMIN DCH"/>
    <x v="1"/>
    <s v="CHSS-SU"/>
    <x v="1"/>
    <x v="1"/>
    <s v="010"/>
    <s v="Preventivo Sistemático"/>
    <s v="110468682"/>
    <s v="MRT 4S MEC INSP SOPLADOR N°6"/>
    <s v="CTEC NOTI DOCU IMOP JBFI KKMP PREC PROG"/>
    <s v="PL"/>
    <s v="MANT &amp; PLANIF CENTRAL TERMICA SULFUROS"/>
    <s v="CGSTMRMM"/>
    <n v="100"/>
    <n v="1"/>
    <n v="1"/>
    <n v="25"/>
    <n v="25"/>
    <x v="1"/>
  </r>
  <r>
    <s v="20.2026"/>
    <s v="08 INFR SERVIC Y SUMIN DCH"/>
    <x v="1"/>
    <s v="CHSS-SU"/>
    <x v="1"/>
    <x v="1"/>
    <s v="010"/>
    <s v="Preventivo Sistemático"/>
    <s v="110447999"/>
    <s v="MRT 4S MTTO MEC CAJON BOMBAS MT"/>
    <s v="CTEC NOTI DOCU IMOP JBFI KKMP PREC PROG"/>
    <s v="PL"/>
    <s v="MANT &amp; PLANIF CENTRAL TERMICA SULFUROS"/>
    <s v="CGSTMRMM"/>
    <n v="100"/>
    <n v="1"/>
    <n v="1"/>
    <n v="4"/>
    <n v="4"/>
    <x v="1"/>
  </r>
  <r>
    <s v="20.2026"/>
    <s v="08 INFR SERVIC Y SUMIN DCH"/>
    <x v="1"/>
    <s v="CHSS-SU"/>
    <x v="1"/>
    <x v="1"/>
    <s v="010"/>
    <s v="Preventivo Sistemático"/>
    <s v="110447998"/>
    <s v="MRT 4S MTTO MEC CORREA 129A"/>
    <s v="CTEC NOTI DOCU IMOP JBFI KKMP PREC PROG"/>
    <s v="PL"/>
    <s v="MANT &amp; PLANIF CENTRAL TERMICA SULFUROS"/>
    <s v="CGSTMRMM"/>
    <n v="100"/>
    <n v="1"/>
    <n v="1"/>
    <n v="7"/>
    <n v="7"/>
    <x v="1"/>
  </r>
  <r>
    <s v="20.2026"/>
    <s v="08 INFR SERVIC Y SUMIN DCH"/>
    <x v="1"/>
    <s v="CHSS-SU"/>
    <x v="1"/>
    <x v="1"/>
    <s v="010"/>
    <s v="Preventivo Sistemático"/>
    <s v="110447997"/>
    <s v="MRT 4S MTTO MEC CORREA 04"/>
    <s v="CTEC NOTI DOCU IMOP JBFI KKMP PREC PROG"/>
    <s v="PL"/>
    <s v="MANT &amp; PLANIF CENTRAL TERMICA SULFUROS"/>
    <s v="CGSTMRMM"/>
    <n v="100"/>
    <n v="1"/>
    <n v="1"/>
    <n v="7"/>
    <n v="7"/>
    <x v="1"/>
  </r>
  <r>
    <s v="20.2026"/>
    <s v="08 INFR SERVIC Y SUMIN DCH"/>
    <x v="1"/>
    <s v="CHSS-SU"/>
    <x v="1"/>
    <x v="1"/>
    <s v="010"/>
    <s v="Preventivo Sistemático"/>
    <s v="110447996"/>
    <s v="MRT 3S MEC MTTO ANÁLISIS VIBRACIONES PHC"/>
    <s v="LIB. NOTP DOCU IMOP KKMP PREC PROG TRAT"/>
    <s v="PL"/>
    <s v="MANT &amp; PLANIF CENTRAL TERMICA SULFUROS"/>
    <s v="CGSTMRMM"/>
    <n v="68.421052631578945"/>
    <n v="0.68421052631578949"/>
    <n v="1"/>
    <n v="13"/>
    <n v="19"/>
    <x v="0"/>
  </r>
  <r>
    <s v="20.2026"/>
    <s v="08 INFR SERVIC Y SUMIN DCH"/>
    <x v="1"/>
    <s v="CHSS-SU"/>
    <x v="1"/>
    <x v="1"/>
    <s v="010"/>
    <s v="Preventivo Sistemático"/>
    <s v="110432896"/>
    <s v="MRT 1S LIMPIEZA FILTRO DE MANGA"/>
    <s v="CTEC NOTI DOCU IMOP JBFI KKMP PREC PROG"/>
    <s v="PL"/>
    <s v="MANT &amp; PLANIF CENTRAL TERMICA SULFUROS"/>
    <s v="CGSTMRMM"/>
    <n v="100"/>
    <n v="1"/>
    <n v="1"/>
    <n v="4"/>
    <n v="4"/>
    <x v="1"/>
  </r>
  <r>
    <s v="20.2026"/>
    <s v="08 INFR SERVIC Y SUMIN DCH"/>
    <x v="1"/>
    <s v="CHSS-SU"/>
    <x v="1"/>
    <x v="1"/>
    <s v="010"/>
    <s v="Preventivo Sistemático"/>
    <s v="110432893"/>
    <s v="MRT 1S MTTO CORREA 129"/>
    <s v="CTEC NOTI DOCU IMOP JBFI KKMP PREC PROG"/>
    <s v="PL"/>
    <s v="MANT &amp; PLANIF CENTRAL TERMICA SULFUROS"/>
    <s v="CGSTMRMM"/>
    <n v="100"/>
    <n v="1"/>
    <n v="1"/>
    <n v="7"/>
    <n v="7"/>
    <x v="1"/>
  </r>
  <r>
    <s v="20.2026"/>
    <s v="08 INFR SERVIC Y SUMIN DCH"/>
    <x v="1"/>
    <s v="CHSS-SU"/>
    <x v="1"/>
    <x v="1"/>
    <s v="010"/>
    <s v="Preventivo Sistemático"/>
    <s v="110432892"/>
    <s v="MRT 1S MTTO CORREA 132"/>
    <s v="CTEC NOTI DOCU IMOP JBFI KKMP PREC PROG"/>
    <s v="PL"/>
    <s v="MANT &amp; PLANIF CENTRAL TERMICA SULFUROS"/>
    <s v="CGSTMRMM"/>
    <n v="100"/>
    <n v="1"/>
    <n v="1"/>
    <n v="7"/>
    <n v="7"/>
    <x v="1"/>
  </r>
  <r>
    <s v="20.2026"/>
    <s v="08 INFR SERVIC Y SUMIN DCH"/>
    <x v="1"/>
    <s v="CHSS-SU"/>
    <x v="1"/>
    <x v="1"/>
    <s v="010"/>
    <s v="Preventivo Sistemático"/>
    <s v="110432887"/>
    <s v="MRT 1S MEC LIMPIEZA AEROVENTILADORES"/>
    <s v="CTEC NOTI DOCU IMOP JBFI KKMP PREC PROG"/>
    <s v="PL"/>
    <s v="MANT &amp; PLANIF CENTRAL TERMICA SULFUROS"/>
    <s v="CGSTMRMM"/>
    <n v="100"/>
    <n v="1"/>
    <n v="1"/>
    <n v="5"/>
    <n v="5"/>
    <x v="1"/>
  </r>
  <r>
    <s v="20.2026"/>
    <s v="08 INFR SERVIC Y SUMIN DCH"/>
    <x v="1"/>
    <s v="CHSS-SU"/>
    <x v="1"/>
    <x v="1"/>
    <s v="010"/>
    <s v="Preventivo Sistemático"/>
    <s v="110432884"/>
    <s v="MRT 1S MEC LIMPIEZA MOLINO TORRE"/>
    <s v="CTEC NOTI DOCU IMOP JBFI KKMP PREC PROG"/>
    <s v="PL"/>
    <s v="MANT &amp; PLANIF CENTRAL TERMICA SULFUROS"/>
    <s v="CGSTMRMM"/>
    <n v="100"/>
    <n v="1"/>
    <n v="1"/>
    <n v="13"/>
    <n v="13"/>
    <x v="1"/>
  </r>
  <r>
    <s v="20.2026"/>
    <s v="08 INFR SERVIC Y SUMIN DCH"/>
    <x v="1"/>
    <s v="CHSS-SU"/>
    <x v="1"/>
    <x v="1"/>
    <s v="010"/>
    <s v="Preventivo Sistemático"/>
    <s v="110432883"/>
    <s v="MRT 1S MEC LIMPIEZA MOLINO HARDINGE 2"/>
    <s v="CTEC NOTI DOCU IMOP JBFI KKMP PREC PROG"/>
    <s v="PL"/>
    <s v="MANT &amp; PLANIF CENTRAL TERMICA SULFUROS"/>
    <s v="CGSTMRMM"/>
    <n v="100"/>
    <n v="1"/>
    <n v="1"/>
    <n v="14"/>
    <n v="14"/>
    <x v="1"/>
  </r>
  <r>
    <s v="20.2026"/>
    <s v="08 INFR SERVIC Y SUMIN DCH"/>
    <x v="1"/>
    <s v="CHSS-SU"/>
    <x v="1"/>
    <x v="1"/>
    <s v="010"/>
    <s v="Preventivo Sistemático"/>
    <s v="110432882"/>
    <s v="MRT 1S MEC LIMPIEZA MOLINO HARDINGE 1"/>
    <s v="CTEC NOTI DOCU IMOP JBFI KKMP PREC PROG"/>
    <s v="PL"/>
    <s v="MANT &amp; PLANIF CENTRAL TERMICA SULFUROS"/>
    <s v="CGSTMRMM"/>
    <n v="100"/>
    <n v="1"/>
    <n v="1"/>
    <n v="14"/>
    <n v="14"/>
    <x v="1"/>
  </r>
  <r>
    <s v="20.2026"/>
    <s v="08 INFR SERVIC Y SUMIN DCH"/>
    <x v="1"/>
    <s v="CHSS-SU"/>
    <x v="1"/>
    <x v="1"/>
    <s v="010"/>
    <s v="Preventivo Sistemático"/>
    <s v="110427755"/>
    <s v="MRT 4S MTTO MEC BOMBA 2B"/>
    <s v="CTEC NOTI DOCU IMOP JBFI KKMP PREC PROG"/>
    <s v="PL"/>
    <s v="MANT &amp; PLANIF CENTRAL TERMICA SULFUROS"/>
    <s v="CGSTMRMM"/>
    <n v="100"/>
    <n v="1"/>
    <n v="1"/>
    <n v="6"/>
    <n v="6"/>
    <x v="1"/>
  </r>
  <r>
    <s v="20.2026"/>
    <s v="08 INFR SERVIC Y SUMIN DCH"/>
    <x v="1"/>
    <s v="CHSS-SU"/>
    <x v="1"/>
    <x v="1"/>
    <s v="010"/>
    <s v="Preventivo Sistemático"/>
    <s v="110427749"/>
    <s v="MRT 4S ELEC MTTO UPS N°3"/>
    <s v="CTEC NOTI DOCU IMOP JBFI KKMP PREC PROG"/>
    <s v="PL"/>
    <s v="MANT &amp; PLANIF CENTRAL TERMICA SULFUROS"/>
    <s v="CGSTMRMM"/>
    <n v="100"/>
    <n v="1"/>
    <n v="1"/>
    <n v="3"/>
    <n v="3"/>
    <x v="1"/>
  </r>
  <r>
    <s v="20.2026"/>
    <s v="08 INFR SERVIC Y SUMIN DCH"/>
    <x v="1"/>
    <s v="CHSS-SU"/>
    <x v="1"/>
    <x v="1"/>
    <s v="010"/>
    <s v="Preventivo Sistemático"/>
    <s v="110406276"/>
    <s v="MRT 4S LIMPIEZA CANALA EXTERIOR"/>
    <s v="CTEC NOTI DOCU IMOP JBFI KKMP PREC PROG"/>
    <s v="PL"/>
    <s v="MANT &amp; PLANIF CENTRAL TERMICA SULFUROS"/>
    <s v="CGSTMRMM"/>
    <n v="100"/>
    <n v="1"/>
    <n v="1"/>
    <n v="3"/>
    <n v="3"/>
    <x v="1"/>
  </r>
  <r>
    <s v="20.2026"/>
    <s v="08 INFR SERVIC Y SUMIN DCH"/>
    <x v="1"/>
    <s v="CHSS-SU"/>
    <x v="1"/>
    <x v="1"/>
    <s v="010"/>
    <s v="Preventivo Sistemático"/>
    <s v="110406270"/>
    <s v="MRT 4S MEC TOMA MUESTRA ACEITE S20"/>
    <s v="CTEC NOTI DOCU IMOP JBFI KKMP PREC PROG"/>
    <s v="PL"/>
    <s v="MANT &amp; PLANIF CENTRAL TERMICA SULFUROS"/>
    <s v="CGSTMRMM"/>
    <n v="100"/>
    <n v="1"/>
    <n v="1"/>
    <n v="13"/>
    <n v="13"/>
    <x v="1"/>
  </r>
  <r>
    <s v="20.2026"/>
    <s v="08 INFR SERVIC Y SUMIN DCH"/>
    <x v="1"/>
    <s v="CHSS-SU"/>
    <x v="1"/>
    <x v="1"/>
    <s v="010"/>
    <s v="Preventivo Sistemático"/>
    <s v="110288268"/>
    <s v="MRT 12S MEC MTTO CALDERA N°2"/>
    <s v="CTEC NOTI DOCU IMOP JBFI KKMP PREC PROG"/>
    <s v="PL"/>
    <s v="MANT &amp; PLANIF CENTRAL TERMICA SULFUROS"/>
    <s v="CGSTMRMM"/>
    <n v="100"/>
    <n v="1"/>
    <n v="1"/>
    <n v="18"/>
    <n v="18"/>
    <x v="1"/>
  </r>
  <r>
    <s v="20.2026"/>
    <s v="08 INFR SERVIC Y SUMIN DCH"/>
    <x v="2"/>
    <s v="02 GRUAS INFRA DCH"/>
    <x v="2"/>
    <x v="2"/>
    <s v="010"/>
    <s v="Preventivo Sistemático"/>
    <s v="110443779"/>
    <s v="MRT 4S MEC MTTO PUENTE GRUA"/>
    <s v="LIB. IMOP KKMP PREC PROG TRAT"/>
    <s v="PL"/>
    <s v="SERVICIO INTERNO MAESTRANZA"/>
    <s v="CGSSTM02"/>
    <n v="0"/>
    <n v="0"/>
    <n v="1"/>
    <n v="0"/>
    <n v="9"/>
    <x v="0"/>
  </r>
  <r>
    <s v="20.2026"/>
    <s v="08 INFR SERVIC Y SUMIN DCH"/>
    <x v="2"/>
    <s v="02 GRUAS INFRA DCH"/>
    <x v="2"/>
    <x v="2"/>
    <s v="010"/>
    <s v="Preventivo Sistemático"/>
    <s v="110443778"/>
    <s v="MRT 4S MEC MTTO PUENTE GRUA"/>
    <s v="LIB. IMOP KKMP PREC PROG TRAT"/>
    <s v="PL"/>
    <s v="SERVICIO INTERNO MAESTRANZA"/>
    <s v="CGSSTM02"/>
    <n v="0"/>
    <n v="0"/>
    <n v="1"/>
    <n v="0"/>
    <n v="9"/>
    <x v="0"/>
  </r>
  <r>
    <s v="20.2026"/>
    <s v="08 INFR SERVIC Y SUMIN DCH"/>
    <x v="2"/>
    <s v="02 GRUAS INFRA DCH"/>
    <x v="2"/>
    <x v="2"/>
    <s v="010"/>
    <s v="Preventivo Sistemático"/>
    <s v="110443777"/>
    <s v="MRT 4S MEC MTTO PUENTE GRUA"/>
    <s v="LIB. IMOP KKMP PREC PROG TRAT"/>
    <s v="PL"/>
    <s v="SERVICIO INTERNO MAESTRANZA"/>
    <s v="CGSSTM02"/>
    <n v="0"/>
    <n v="0"/>
    <n v="1"/>
    <n v="0"/>
    <n v="9"/>
    <x v="0"/>
  </r>
  <r>
    <s v="20.2026"/>
    <s v="08 INFR SERVIC Y SUMIN DCH"/>
    <x v="2"/>
    <s v="05 RESPAL. E.ELEC. INFRA DCH"/>
    <x v="1"/>
    <x v="1"/>
    <s v="010"/>
    <s v="Preventivo Sistemático"/>
    <s v="110427660"/>
    <s v="MRT 4S INST INSP CARGA BATERIAS G2"/>
    <s v="CTEC NOTI DOCU IMOP JBFI KKMP PREC PROG"/>
    <s v="PL"/>
    <s v="MANT &amp; PLANIF CENTRAL TERMICA SULFUROS"/>
    <s v="CGSTMRMM"/>
    <n v="100"/>
    <n v="1"/>
    <n v="1"/>
    <n v="1"/>
    <n v="1"/>
    <x v="1"/>
  </r>
  <r>
    <s v="20.2026"/>
    <s v="08 INFR SERVIC Y SUMIN DCH"/>
    <x v="2"/>
    <s v="05 RESPAL. E.ELEC. INFRA DCH"/>
    <x v="1"/>
    <x v="1"/>
    <s v="010"/>
    <s v="Preventivo Sistemático"/>
    <s v="110427659"/>
    <s v="MRT 4S INST INSP CARGA BATERIAS G1"/>
    <s v="CTEC NOTI DOCU IMOP JBFI KKMP PREC PROG"/>
    <s v="PL"/>
    <s v="MANT &amp; PLANIF CENTRAL TERMICA SULFUROS"/>
    <s v="CGSTMRMM"/>
    <n v="100"/>
    <n v="1"/>
    <n v="1"/>
    <n v="1"/>
    <n v="1"/>
    <x v="1"/>
  </r>
  <r>
    <s v="20.2026"/>
    <s v="08 INFR SERVIC Y SUMIN DCH"/>
    <x v="2"/>
    <s v="05 RESPAL. E.ELEC. INFRA DCH"/>
    <x v="0"/>
    <x v="0"/>
    <s v="010"/>
    <s v="Preventivo Sistemático"/>
    <s v="110251292"/>
    <s v="CARGADOR BATERIAS N°2 SALA S/E K1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5 RESPAL. E.ELEC. INFRA DCH"/>
    <x v="0"/>
    <x v="0"/>
    <s v="010"/>
    <s v="Preventivo Sistemático"/>
    <s v="110251291"/>
    <s v="CARGADOR BATERIAS N°1 SALA S/E K1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5 RESPAL. E.ELEC. INFRA DCH"/>
    <x v="0"/>
    <x v="0"/>
    <s v="010"/>
    <s v="Preventivo Sistemático"/>
    <s v="110251290"/>
    <s v="BANCO BATERIAS N°2  SALA S/E K1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5 RESPAL. E.ELEC. INFRA DCH"/>
    <x v="0"/>
    <x v="0"/>
    <s v="010"/>
    <s v="Preventivo Sistemático"/>
    <s v="110251289"/>
    <s v="BANCO BATERIAS N°1  SALA S/E K1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10"/>
    <s v="Preventivo Sistemático"/>
    <s v="110473475"/>
    <s v="INSPECCION SAPCI S/E TCHITACK SALA GIS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10"/>
    <s v="Preventivo Sistemático"/>
    <s v="110473462"/>
    <s v="INSPECCI SAPCI S/E SOPLADORES GIS 13,8KV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73484"/>
    <s v="INSPECCION SAPCI S/E TCHITACK GIS 34,5KV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73479"/>
    <s v="INSPECCION SAPCI S/E TCHITACK GIS 220KV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73466"/>
    <s v="INSPECCION SAPCI S/E TCHITACK SALA SCADA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73457"/>
    <s v="INSPECCION SAPCI S/E SOPLADORES TRAFO 1"/>
    <s v="CTEC NOTI IMOP JBFI KKMP PREC PROG TBTR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73455"/>
    <s v="INSPECCION SAPCI S/E K1 TRAFO 3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73454"/>
    <s v="INSPECCIÓN SAPCI S/E K1 TRAFO 1-2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39865"/>
    <s v="INSPECCION SISTEMA SAPCI  S/E SUB-A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39864"/>
    <s v="INSPECCION SISTEMA SAPCI S/E CHUQUICAMAT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39861"/>
    <s v="INSPECCION SISTEMA SAPCI S/E 10"/>
    <s v="CTEC NOTI DOCU IMOP JBFI KKMP PREC PROG"/>
    <s v="PL"/>
    <s v="MANT &amp; PLANIF SUMINISTRO ELECTRICO"/>
    <s v="CGSSERME"/>
    <n v="100"/>
    <n v="1"/>
    <n v="1"/>
    <n v="1"/>
    <n v="1"/>
    <x v="1"/>
  </r>
  <r>
    <s v="20.2026"/>
    <s v="08 INFR SERVIC Y SUMIN DCH"/>
    <x v="2"/>
    <s v="03 SIST. C.INCENDIO INFRA DCH"/>
    <x v="0"/>
    <x v="0"/>
    <s v="020"/>
    <s v="Preventivo Predictivo"/>
    <s v="110439860"/>
    <s v="INSPECCION SISTEMA SAPCI S/E KM6"/>
    <s v="CTEC NOTI DOCU IMOP JBFI KKMP PREC PROG"/>
    <s v="PL"/>
    <s v="MANT &amp; PLANIF SUMINISTRO ELECTRICO"/>
    <s v="CGSSERME"/>
    <n v="100"/>
    <n v="1"/>
    <n v="1"/>
    <n v="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22B3B-0A23-4784-AEA7-46ADB3575FDC}" name="TablaDinámica2" cacheId="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41:F48" firstHeaderRow="1" firstDataRow="2" firstDataCol="3"/>
  <pivotFields count="20"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ubtotalTop="0" showAll="0" defaultSubtotal="0">
      <items count="3">
        <item x="0"/>
        <item x="1"/>
        <item x="2"/>
      </items>
    </pivotField>
    <pivotField axis="axisRow" compact="0" outline="0" subtotalTop="0" showAll="0" defaultSubtotal="0">
      <items count="3">
        <item x="0"/>
        <item x="1"/>
        <item x="2"/>
      </items>
    </pivotField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167" outline="0" showAll="0" defaultSubtotal="0"/>
    <pivotField compact="0" numFmtId="167" outline="0" showAll="0" defaultSubtotal="0"/>
    <pivotField compact="0" numFmtId="167" outline="0" showAll="0" defaultSubtotal="0"/>
    <pivotField compact="0" numFmtId="165" outline="0" showAll="0" defaultSubtotal="0"/>
    <pivotField dataField="1" compact="0" numFmtId="165" outline="0" showAll="0" defaultSubtotal="0"/>
    <pivotField axis="axisCol" compact="0" outline="0" showAll="0" defaultSubtotal="0">
      <items count="2">
        <item x="1"/>
        <item x="0"/>
      </items>
    </pivotField>
  </pivotFields>
  <rowFields count="3">
    <field x="2"/>
    <field x="5"/>
    <field x="4"/>
  </rowFields>
  <rowItems count="6">
    <i>
      <x/>
      <x/>
      <x/>
    </i>
    <i>
      <x v="1"/>
      <x v="1"/>
      <x v="1"/>
    </i>
    <i>
      <x v="2"/>
      <x/>
      <x/>
    </i>
    <i r="1">
      <x v="1"/>
      <x v="1"/>
    </i>
    <i r="1">
      <x v="2"/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Suma de Cantidad de Operaciones totales" fld="18" baseField="0" baseItem="0" numFmtId="165"/>
  </dataFields>
  <formats count="8">
    <format dxfId="105">
      <pivotArea outline="0" fieldPosition="0">
        <references count="1">
          <reference field="19" count="1" selected="0">
            <x v="1"/>
          </reference>
        </references>
      </pivotArea>
    </format>
    <format dxfId="104">
      <pivotArea grandCol="1" outline="0" collapsedLevelsAreSubtotals="1" fieldPosition="0"/>
    </format>
    <format dxfId="103">
      <pivotArea field="19" type="button" dataOnly="0" labelOnly="1" outline="0" axis="axisCol" fieldPosition="0"/>
    </format>
    <format dxfId="102">
      <pivotArea type="topRight" dataOnly="0" labelOnly="1" outline="0" fieldPosition="0"/>
    </format>
    <format dxfId="101">
      <pivotArea dataOnly="0" labelOnly="1" outline="0" fieldPosition="0">
        <references count="1">
          <reference field="19" count="0"/>
        </references>
      </pivotArea>
    </format>
    <format dxfId="100">
      <pivotArea dataOnly="0" labelOnly="1" grandCol="1" outline="0" fieldPosition="0"/>
    </format>
    <format dxfId="99">
      <pivotArea dataOnly="0" labelOnly="1" grandRow="1" outline="0" fieldPosition="0"/>
    </format>
    <format dxfId="98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2511F-28D5-4D36-A8D3-97C38CEDECE8}" name="TablaDinámica1" cacheId="3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1:F37" firstHeaderRow="1" firstDataRow="2" firstDataCol="3"/>
  <pivotFields count="18">
    <pivotField axis="axisRow" compact="0" outline="0" subtotalTop="0" showAll="0" defaultSubtotal="0">
      <items count="2">
        <item x="0"/>
        <item x="1"/>
      </items>
    </pivotField>
    <pivotField axis="axisRow" compact="0" outline="0" subtotalTop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numFmtId="165" outline="0" showAll="0" defaultSubtotal="0"/>
    <pivotField dataField="1" compact="0" numFmtId="166" outline="0" showAll="0" defaultSubtotal="0"/>
    <pivotField axis="axisCol" compact="0" outline="0" subtotalTop="0" showAll="0" defaultSubtotal="0">
      <items count="2">
        <item x="0"/>
        <item x="1"/>
      </items>
    </pivotField>
  </pivotFields>
  <rowFields count="3">
    <field x="4"/>
    <field x="1"/>
    <field x="0"/>
  </rowFields>
  <rowItems count="5">
    <i>
      <x/>
      <x/>
      <x/>
    </i>
    <i>
      <x v="1"/>
      <x v="1"/>
      <x v="1"/>
    </i>
    <i>
      <x v="2"/>
      <x/>
      <x/>
    </i>
    <i r="1">
      <x v="1"/>
      <x v="1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Suma de Total Op. Programadas" fld="16" baseField="0" baseItem="0" numFmtId="165"/>
  </dataFields>
  <formats count="9">
    <format dxfId="114">
      <pivotArea outline="0" collapsedLevelsAreSubtotals="1" fieldPosition="0"/>
    </format>
    <format dxfId="113">
      <pivotArea outline="0" collapsedLevelsAreSubtotals="1" fieldPosition="0"/>
    </format>
    <format dxfId="112">
      <pivotArea outline="0" fieldPosition="0">
        <references count="1">
          <reference field="17" count="1" selected="0">
            <x v="1"/>
          </reference>
        </references>
      </pivotArea>
    </format>
    <format dxfId="111">
      <pivotArea grandCol="1" outline="0" collapsedLevelsAreSubtotals="1" fieldPosition="0"/>
    </format>
    <format dxfId="110">
      <pivotArea field="17" type="button" dataOnly="0" labelOnly="1" outline="0" axis="axisCol" fieldPosition="0"/>
    </format>
    <format dxfId="109">
      <pivotArea type="topRight" dataOnly="0" labelOnly="1" outline="0" fieldPosition="0"/>
    </format>
    <format dxfId="108">
      <pivotArea dataOnly="0" labelOnly="1" outline="0" fieldPosition="0">
        <references count="1">
          <reference field="17" count="0"/>
        </references>
      </pivotArea>
    </format>
    <format dxfId="107">
      <pivotArea dataOnly="0" labelOnly="1" grandCol="1" outline="0" fieldPosition="0"/>
    </format>
    <format dxfId="106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7DF22-AD71-49CB-BB01-C398F854C502}" name="TablaDinámica5" cacheId="2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20:G27" firstHeaderRow="1" firstDataRow="2" firstDataCol="3"/>
  <pivotFields count="23"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1"/>
        <item x="2"/>
        <item x="3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3">
        <item x="1"/>
        <item x="2"/>
        <item x="0"/>
      </items>
    </pivotField>
    <pivotField axis="axisRow" compact="0" outline="0" showAll="0" defaultSubtotal="0">
      <items count="3">
        <item x="2"/>
        <item x="1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164" outline="0" showAll="0" defaultSubtotal="0"/>
    <pivotField compact="0" numFmtId="164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dataField="1" compact="0" numFmtId="166" outline="0" subtotalTop="0" showAll="0" defaultSubtotal="0"/>
    <pivotField axis="axisCol" compact="0" outline="0" showAll="0" defaultSubtotal="0">
      <items count="3">
        <item x="1"/>
        <item x="2"/>
        <item x="0"/>
      </items>
    </pivotField>
    <pivotField compact="0" outline="0" subtotalTop="0" dragToRow="0" dragToCol="0" dragToPage="0" showAll="0" defaultSubtotal="0"/>
  </pivotFields>
  <rowFields count="3">
    <field x="2"/>
    <field x="8"/>
    <field x="9"/>
  </rowFields>
  <rowItems count="6">
    <i>
      <x/>
      <x/>
      <x v="1"/>
    </i>
    <i>
      <x v="1"/>
      <x v="1"/>
      <x/>
    </i>
    <i>
      <x v="2"/>
      <x/>
      <x v="1"/>
    </i>
    <i r="1">
      <x v="1"/>
      <x/>
    </i>
    <i>
      <x v="3"/>
      <x v="2"/>
      <x v="2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dataFields count="1">
    <dataField name="Suma de HH Totales Reales" fld="20" baseField="0" baseItem="0" numFmtId="166"/>
  </dataFields>
  <formats count="8">
    <format dxfId="122">
      <pivotArea outline="0" collapsedLevelsAreSubtotals="1" fieldPosition="0"/>
    </format>
    <format dxfId="121">
      <pivotArea outline="0" collapsedLevelsAreSubtotals="1" fieldPosition="0"/>
    </format>
    <format dxfId="120">
      <pivotArea grandCol="1" outline="0" collapsedLevelsAreSubtotals="1" fieldPosition="0"/>
    </format>
    <format dxfId="119">
      <pivotArea field="21" type="button" dataOnly="0" labelOnly="1" outline="0" axis="axisCol" fieldPosition="0"/>
    </format>
    <format dxfId="118">
      <pivotArea type="topRight" dataOnly="0" labelOnly="1" outline="0" fieldPosition="0"/>
    </format>
    <format dxfId="117">
      <pivotArea dataOnly="0" labelOnly="1" outline="0" fieldPosition="0">
        <references count="1">
          <reference field="21" count="0"/>
        </references>
      </pivotArea>
    </format>
    <format dxfId="116">
      <pivotArea dataOnly="0" labelOnly="1" grandCol="1" outline="0" fieldPosition="0"/>
    </format>
    <format dxfId="115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DDB33-8493-4BF3-981C-FB01585D05E5}" name="TablaDinámica4" cacheId="1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8:D16" firstHeaderRow="1" firstDataRow="1" firstDataCol="3"/>
  <pivotFields count="15">
    <pivotField axis="axisRow" compact="0" outline="0" subtotalTop="0" showAll="0" defaultSubtotal="0">
      <items count="5">
        <item x="0"/>
        <item x="2"/>
        <item x="3"/>
        <item x="1"/>
        <item x="4"/>
      </items>
    </pivotField>
    <pivotField axis="axisRow" compact="0" outline="0" subtotalTop="0" showAll="0" defaultSubtotal="0">
      <items count="5">
        <item x="0"/>
        <item x="2"/>
        <item x="3"/>
        <item x="1"/>
        <item x="4"/>
      </items>
    </pivotField>
    <pivotField compact="0" outline="0" subtotalTop="0" showAll="0" defaultSubtotal="0"/>
    <pivotField axis="axisRow" compact="0" outline="0" showAll="0" defaultSubtotal="0">
      <items count="4">
        <item x="0"/>
        <item x="2"/>
        <item x="1"/>
        <item x="3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</pivotFields>
  <rowFields count="3">
    <field x="3"/>
    <field x="1"/>
    <field x="0"/>
  </rowFields>
  <rowItems count="8">
    <i>
      <x/>
      <x/>
      <x/>
    </i>
    <i>
      <x v="1"/>
      <x v="1"/>
      <x v="1"/>
    </i>
    <i r="1">
      <x v="2"/>
      <x v="2"/>
    </i>
    <i>
      <x v="2"/>
      <x v="1"/>
      <x v="1"/>
    </i>
    <i r="1">
      <x v="3"/>
      <x v="3"/>
    </i>
    <i r="1">
      <x v="4"/>
      <x v="4"/>
    </i>
    <i>
      <x v="3"/>
      <x v="2"/>
      <x v="2"/>
    </i>
    <i t="grand">
      <x/>
    </i>
  </rowItems>
  <colItems count="1">
    <i/>
  </colItems>
  <dataFields count="1">
    <dataField name="Órdenes" fld="5" subtotal="count" baseField="0" baseItem="0"/>
  </dataFields>
  <formats count="7">
    <format dxfId="129">
      <pivotArea dataOnly="0" outline="0" axis="axisValues" fieldPosition="0"/>
    </format>
    <format dxfId="128">
      <pivotArea dataOnly="0" labelOnly="1" outline="0" axis="axisValues" fieldPosition="0"/>
    </format>
    <format dxfId="127">
      <pivotArea field="0" type="button" dataOnly="0" labelOnly="1" outline="0" axis="axisRow" fieldPosition="2"/>
    </format>
    <format dxfId="126">
      <pivotArea dataOnly="0" labelOnly="1" grandRow="1" outline="0" fieldPosition="0"/>
    </format>
    <format dxfId="125">
      <pivotArea outline="0" collapsedLevelsAreSubtotals="1" fieldPosition="0"/>
    </format>
    <format dxfId="124">
      <pivotArea dataOnly="0" labelOnly="1" outline="0" axis="axisValues" fieldPosition="0"/>
    </format>
    <format dxfId="123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4B782-7E0F-4853-907B-D2B87396524A}" name="TablaDinámica3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2:D4" firstHeaderRow="1" firstDataRow="1" firstDataCol="3"/>
  <pivotFields count="17">
    <pivotField compact="0" outline="0" showAll="0" defaultSubtotal="0"/>
    <pivotField compact="0" outline="0" subtotalTop="0" showAll="0" defaultSubtotal="0"/>
    <pivotField axis="axisRow" compact="0" outline="0" showAll="0" defaultSubtotal="0">
      <items count="1"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numFmtId="164" outline="0" subtotalTop="0" showAll="0" defaultSubtotal="0"/>
    <pivotField axis="axisRow" compact="0" outline="0" subtotalTop="0" showAll="0" defaultSubtotal="0">
      <items count="1">
        <item x="0"/>
      </items>
    </pivotField>
    <pivotField axis="axisRow" compact="0" outline="0" subtotalTop="0" showAll="0" defaultSubtotal="0">
      <items count="1">
        <item x="0"/>
      </items>
    </pivotField>
    <pivotField dataField="1"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numFmtId="165" outline="0" subtotalTop="0" showAll="0" defaultSubtotal="0"/>
  </pivotFields>
  <rowFields count="3">
    <field x="2"/>
    <field x="11"/>
    <field x="10"/>
  </rowFields>
  <rowItems count="2">
    <i>
      <x/>
      <x/>
      <x/>
    </i>
    <i t="grand">
      <x/>
    </i>
  </rowItems>
  <colItems count="1">
    <i/>
  </colItems>
  <dataFields count="1">
    <dataField name="Avisos" fld="12" subtotal="count" baseField="0" baseItem="0"/>
  </dataFields>
  <formats count="12">
    <format dxfId="141">
      <pivotArea dataOnly="0" outline="0" axis="axisValues" fieldPosition="0"/>
    </format>
    <format dxfId="140">
      <pivotArea dataOnly="0" labelOnly="1" outline="0" axis="axisValues" fieldPosition="0"/>
    </format>
    <format dxfId="139">
      <pivotArea dataOnly="0" labelOnly="1" grandRow="1" outline="0" fieldPosition="0"/>
    </format>
    <format dxfId="138">
      <pivotArea outline="0" collapsedLevelsAreSubtotals="1" fieldPosition="0"/>
    </format>
    <format dxfId="137">
      <pivotArea outline="0" collapsedLevelsAreSubtotals="1" fieldPosition="0"/>
    </format>
    <format dxfId="136">
      <pivotArea grandRow="1" outline="0" collapsedLevelsAreSubtotals="1" fieldPosition="0"/>
    </format>
    <format dxfId="135">
      <pivotArea field="11" type="button" dataOnly="0" labelOnly="1" outline="0" axis="axisRow" fieldPosition="1"/>
    </format>
    <format dxfId="134">
      <pivotArea field="10" type="button" dataOnly="0" labelOnly="1" outline="0" axis="axisRow" fieldPosition="2"/>
    </format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outline="0" collapsedLevelsAreSubtotals="1" fieldPosition="0"/>
    </format>
    <format dxfId="130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5495C-8CCC-4DEB-9E3D-412BBCD20CE5}" name="Tbl_AvisosPendientes" displayName="Tbl_AvisosPendientes" ref="A1:Q9" totalsRowShown="0" headerRowDxfId="97" dataDxfId="95" headerRowBorderDxfId="96" tableBorderDxfId="94" totalsRowBorderDxfId="93">
  <autoFilter ref="A1:Q9" xr:uid="{8C65495C-8CCC-4DEB-9E3D-412BBCD20CE5}"/>
  <tableColumns count="17">
    <tableColumn id="1" xr3:uid="{3DE9B3E4-97A9-4A58-AC19-95DDFC598B99}" name="Año natural/Semana" dataDxfId="92"/>
    <tableColumn id="2" xr3:uid="{3C8C9829-0135-481A-92B2-25281F329E1C}" name="Fase" dataDxfId="91"/>
    <tableColumn id="3" xr3:uid="{3BFBD67E-EA62-46B3-B3B6-3288E7B06143}" name="Proceso" dataDxfId="90"/>
    <tableColumn id="4" xr3:uid="{9083C1DD-6A21-4CE4-AE2C-8B2B2CD32D2E}" name="SubProceso" dataDxfId="89"/>
    <tableColumn id="5" xr3:uid="{4CBE200A-8F53-4D45-A60C-E3A6894F9879}" name="Aviso" dataDxfId="88"/>
    <tableColumn id="6" xr3:uid="{DB445627-4AB0-4DA3-BC12-AE103F059B47}" name="Txt. Breve" dataDxfId="87"/>
    <tableColumn id="7" xr3:uid="{8B9D1FF7-3F8C-4080-AC19-4F310F0F9AA9}" name="Clase de aviso" dataDxfId="86"/>
    <tableColumn id="8" xr3:uid="{F45F03DE-C8E7-4583-BC88-2F29E758FCAD}" name="Prioridad" dataDxfId="85"/>
    <tableColumn id="9" xr3:uid="{3C36075D-1F71-46E5-8751-8E19290B81D1}" name="Status de Sistema" dataDxfId="84"/>
    <tableColumn id="10" xr3:uid="{B9C605D7-545C-41CB-AC41-6055704E1C0B}" name="Fecha Aviso PM" dataDxfId="83"/>
    <tableColumn id="11" xr3:uid="{975A514D-105D-48FD-A991-F5503D2FA52C}" name="Gr.planif.PM" dataDxfId="82"/>
    <tableColumn id="12" xr3:uid="{7ADE9C70-9AFE-4363-A6EF-E22A56D61762}" name="Gr.Planif" dataDxfId="81"/>
    <tableColumn id="13" xr3:uid="{1FBDF6EA-9323-4770-8464-588D0FEBA323}" name="Orden mantenimiento" dataDxfId="80"/>
    <tableColumn id="14" xr3:uid="{46FEC8B7-805B-4FA8-A988-43F9301EBCA0}" name="Columna3" dataDxfId="79"/>
    <tableColumn id="15" xr3:uid="{103BCA15-94D1-4969-ABF4-922D25ECDE42}" name="Puesto de trabajo" dataDxfId="78"/>
    <tableColumn id="16" xr3:uid="{813ED74E-F50A-4885-B924-9EB8A8D27878}" name="Pto. Trabajo" dataDxfId="77"/>
    <tableColumn id="17" xr3:uid="{5D2B4107-C8DF-4D81-9958-BDC367DF7F5E}" name="Número de avisos pendien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1F221F-10C8-4098-86D3-4AFE222A9740}" name="Tbl_ÓrdenesPendientes" displayName="Tbl_ÓrdenesPendientes" ref="A1:O31" totalsRowShown="0" headerRowDxfId="76" dataDxfId="74" headerRowBorderDxfId="75" tableBorderDxfId="73" totalsRowBorderDxfId="72">
  <autoFilter ref="A1:O31" xr:uid="{F81F221F-10C8-4098-86D3-4AFE222A9740}"/>
  <tableColumns count="15">
    <tableColumn id="1" xr3:uid="{3C4593E3-A230-4543-B59A-D199F673A143}" name="Gr.planif.PM" dataDxfId="71"/>
    <tableColumn id="2" xr3:uid="{951CA4E5-BE93-42DD-8F29-07A183766475}" name="Gr. Planif" dataDxfId="70"/>
    <tableColumn id="3" xr3:uid="{28B6AD94-D7F8-46FB-A029-8779F7FA2F2E}" name="Fase" dataDxfId="69"/>
    <tableColumn id="4" xr3:uid="{2C326AF1-0762-4E80-B069-A1C51972BE0E}" name="Proceso" dataDxfId="68"/>
    <tableColumn id="5" xr3:uid="{69133191-3F4B-4059-894C-92859C7C26D1}" name="Sub-Proceso" dataDxfId="67"/>
    <tableColumn id="6" xr3:uid="{F1D6087F-179E-4CBB-849C-3F327E27BA02}" name="Orden mantenimiento" dataDxfId="66"/>
    <tableColumn id="7" xr3:uid="{D71E1131-19F3-4677-8086-7FAF0520858B}" name="Txt. Breve" dataDxfId="65"/>
    <tableColumn id="8" xr3:uid="{72F77D1D-4209-49A2-917C-C1E1E706FC71}" name="Status de Sistema" dataDxfId="64"/>
    <tableColumn id="9" xr3:uid="{666C5987-E840-449E-883E-340B1136D53E}" name="Clase de orden" dataDxfId="63"/>
    <tableColumn id="10" xr3:uid="{510685CF-C1B2-48AE-94FF-4BC97F956454}" name="Clase actividad PM" dataDxfId="62"/>
    <tableColumn id="11" xr3:uid="{C5283C4A-87DB-4928-8702-F4C764D1C2BA}" name="Actividad PM" dataDxfId="61"/>
    <tableColumn id="12" xr3:uid="{BD4A072E-8E20-4821-887D-3988B2C67B08}" name="Año natural/Semana" dataDxfId="60"/>
    <tableColumn id="13" xr3:uid="{B5089087-BF88-4C3F-95AC-1C0F02643826}" name="Pto. Trabajo" dataDxfId="59"/>
    <tableColumn id="14" xr3:uid="{A5CD3ABA-A3A5-46F5-8385-0992DBC3264C}" name="Puesto de trabajo" dataDxfId="58"/>
    <tableColumn id="15" xr3:uid="{66E9A45A-3FA8-49BF-954F-07944F496E43}" name="Número de OT Pendien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0202EC-AC67-46EF-A5A4-B4E5845DCDC1}" name="Tbl_PctTrabajoPlanificado" displayName="Tbl_PctTrabajoPlanificado" ref="A1:V145" totalsRowShown="0" headerRowDxfId="57" tableBorderDxfId="56">
  <autoFilter ref="A1:V145" xr:uid="{280202EC-AC67-46EF-A5A4-B4E5845DCDC1}"/>
  <tableColumns count="22">
    <tableColumn id="1" xr3:uid="{B6480295-422D-4307-813F-ED1837B7E4D1}" name="Año natural/Semana" dataDxfId="55"/>
    <tableColumn id="2" xr3:uid="{0EEFFA9C-D222-45C2-BD2B-42D2ADE64776}" name="Fase" dataDxfId="54"/>
    <tableColumn id="3" xr3:uid="{37AA34EB-9945-4D59-9BC2-5EE13F8D239C}" name="Proceso" dataDxfId="53"/>
    <tableColumn id="4" xr3:uid="{6F5178F4-93A5-4158-B0C8-15C9A518414D}" name="SubProceso" dataDxfId="52"/>
    <tableColumn id="5" xr3:uid="{CCFAA38A-90F6-4530-BD61-0D1D77BD4F5A}" name="Puesto de trabajo" dataDxfId="51"/>
    <tableColumn id="6" xr3:uid="{BA27490A-D7AA-4897-9356-1194A56883F4}" name="Psto. Trabaj" dataDxfId="50"/>
    <tableColumn id="7" xr3:uid="{309ED5FB-DE01-4039-B015-2A4DA42BC0AF}" name="Clase actividad PM" dataDxfId="49"/>
    <tableColumn id="8" xr3:uid="{9CE4AB7A-0ED4-434C-AF23-31FCA5A65228}" name="Actividad PM" dataDxfId="48"/>
    <tableColumn id="9" xr3:uid="{89E05334-F587-49A6-9E0F-BEECD9FD1FDB}" name="Gr. planif" dataDxfId="47">
      <calculatedColumnFormula>VLOOKUP(Tbl_PctTrabajoPlanificado[[#This Row],[Orden mantenimiento]],Data!$E$2:$G$101,2,FALSE)</calculatedColumnFormula>
    </tableColumn>
    <tableColumn id="10" xr3:uid="{9B0CDDD3-F6FA-4E45-A033-8A400F4AC750}" name="Gr. planif.PM" dataDxfId="46">
      <calculatedColumnFormula array="1">_xlfn.IFS(I2="C81","Pl.Termoelec.Chuq.",I2="C82","Pl.Dist.Energ.Elec",I2="C89","Pl.Mant.Ind.Electr",I2="CO0","Concentradora A0",I2="CO1","Concentradora A1",I2="CO2","Concentradora A2",I2="CB1","SAE Centralizado",I2="C71","Pl.Maestranza.Cent",I2="C72","Pl.Calderería.Cent",I2="C74","CONTRATOS METALMEC",I2="C40","Planif. Refinería",I2="SAPCI","SAPCI",TRUE,"Código no encontrado")</calculatedColumnFormula>
    </tableColumn>
    <tableColumn id="11" xr3:uid="{F960D48D-1952-4BC0-BC5C-502C02EA1401}" name="Orden mantenimiento" dataDxfId="45"/>
    <tableColumn id="12" xr3:uid="{FFA85932-E8E2-4125-813C-0647A68EFED3}" name="Txt. Breve" dataDxfId="44"/>
    <tableColumn id="13" xr3:uid="{41CB73FF-3AFF-4FA2-8985-B8D2938ED439}" name="Status de Sistema" dataDxfId="43"/>
    <tableColumn id="14" xr3:uid="{9669F0FE-52B0-4841-93D0-91352D201D61}" name="Clase de orden" dataDxfId="42"/>
    <tableColumn id="22" xr3:uid="{A1049BBC-182E-4209-93C8-BA372D49B14A}" name="Horizonte" dataDxfId="41">
      <calculatedColumnFormula>Tbl_PctTrabajoPlanificado[[#This Row],[Fecha inicio real]]-Tbl_PctTrabajoPlanificado[[#This Row],[Fecha Libera Orden]]</calculatedColumnFormula>
    </tableColumn>
    <tableColumn id="15" xr3:uid="{A81D2270-B14A-4E72-934C-CBCFE7DA586A}" name="Fecha Libera Orden" dataDxfId="40"/>
    <tableColumn id="16" xr3:uid="{3BF8EFE5-F74F-485B-92FB-AC0429210225}" name="Fecha inicio real" dataDxfId="39"/>
    <tableColumn id="17" xr3:uid="{5E248C0E-D956-4685-9AC9-FB6FF3FCB0FD}" name="Grupo hojas de ruta" dataDxfId="38"/>
    <tableColumn id="18" xr3:uid="{186F54D4-CA78-4D81-A045-D9612CAD33AB}" name="% Planificado (HH)"/>
    <tableColumn id="19" xr3:uid="{60561C8D-1807-4F41-B5C4-A4B0BDC6B4A6}" name="HH Plan. Reales"/>
    <tableColumn id="20" xr3:uid="{50A6C2E3-F36A-4546-83CB-14D5D6442177}" name="HH Totales Reales"/>
    <tableColumn id="21" xr3:uid="{57089E05-734F-4182-A514-CD565B5E39ED}" name="Crite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1A8296-1536-42A9-8B06-B6893A343D0C}" name="Tbl_ProgramaSemanal" displayName="Tbl_ProgramaSemanal" ref="A1:R121" totalsRowShown="0" headerRowDxfId="37" headerRowBorderDxfId="36" tableBorderDxfId="35" totalsRowBorderDxfId="34">
  <autoFilter ref="A1:R121" xr:uid="{2E1A8296-1536-42A9-8B06-B6893A343D0C}"/>
  <tableColumns count="18">
    <tableColumn id="1" xr3:uid="{25C27709-325E-4F45-B581-0AD11CE26526}" name="Gr.planif.PM" dataDxfId="33"/>
    <tableColumn id="2" xr3:uid="{EC82B150-BAEB-48DC-BE2F-73973012EDD5}" name="Gr.planif" dataDxfId="32"/>
    <tableColumn id="3" xr3:uid="{D6CF4E43-F651-460B-A726-55225CAEE6EC}" name="S Agr Fec Ini + Temp" dataDxfId="31"/>
    <tableColumn id="4" xr3:uid="{FB0634C5-25EF-4948-9E5B-C6465C4A8A0F}" name="Fase" dataDxfId="30"/>
    <tableColumn id="5" xr3:uid="{31D391BE-82D5-40C4-8FB9-F132AAE95D55}" name="Proceso" dataDxfId="29"/>
    <tableColumn id="6" xr3:uid="{701CECDD-6E52-42CD-A920-311155D0A15B}" name="SubProceso" dataDxfId="28"/>
    <tableColumn id="7" xr3:uid="{DE5F0BB3-FE97-4067-B966-276C11C457D9}" name="Puesto de trabajo" dataDxfId="27"/>
    <tableColumn id="8" xr3:uid="{A4E7BD46-7B33-4F7F-9DCA-C0F606DEE4C3}" name="Psto. Trabaj" dataDxfId="26"/>
    <tableColumn id="9" xr3:uid="{637EEFB9-D56B-410D-942E-2A8A570E118A}" name="Clase actividad PM"/>
    <tableColumn id="10" xr3:uid="{FA8B1C76-FD4F-4B9B-8D2C-C0CBB5360E3E}" name="Actividad PM" dataDxfId="25"/>
    <tableColumn id="11" xr3:uid="{C1DB78C4-E826-4809-9681-DAD141F6A04B}" name="Orden mantenimiento" dataDxfId="24"/>
    <tableColumn id="12" xr3:uid="{3CD73A81-8EB8-43AA-9030-B894CDA72D5D}" name="Txt. Breve" dataDxfId="23"/>
    <tableColumn id="13" xr3:uid="{FC57F90D-04D3-431B-8BC7-4DF1DD9200BF}" name="Clase de orden" dataDxfId="22"/>
    <tableColumn id="14" xr3:uid="{6DABB061-5AD1-43C9-BFFE-0F1254B68653}" name="Status de Sistema" dataDxfId="21"/>
    <tableColumn id="15" xr3:uid="{7F4F2A26-6639-44F0-8E7A-995AF68B1B1B}" name="Cumplimiento Prog. Semanal (Op)" dataDxfId="20"/>
    <tableColumn id="16" xr3:uid="{6DDDF4D5-EBCD-478A-BADC-44437069C7FD}" name="Indicador cumple sem" dataDxfId="19"/>
    <tableColumn id="17" xr3:uid="{49D492B3-5645-4C93-8697-C479900572FA}" name="Total Op. Programadas" dataDxfId="18"/>
    <tableColumn id="18" xr3:uid="{7163A719-090D-46D1-8B02-FFFB3159939E}" name="Crite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9A5E70-630C-4F20-83D5-977D88A8AAEC}" name="Tbl_PlanMatriz" displayName="Tbl_PlanMatriz" ref="A1:T52" totalsRowShown="0" headerRowDxfId="17" headerRowBorderDxfId="16" tableBorderDxfId="15" totalsRowBorderDxfId="14">
  <autoFilter ref="A1:T52" xr:uid="{3D9A5E70-630C-4F20-83D5-977D88A8AAEC}"/>
  <sortState xmlns:xlrd2="http://schemas.microsoft.com/office/spreadsheetml/2017/richdata2" ref="A2:T52">
    <sortCondition ref="I1:I52"/>
  </sortState>
  <tableColumns count="20">
    <tableColumn id="1" xr3:uid="{7E138BA6-0992-4C44-B424-46C328A56355}" name="Año natural/Semana" dataDxfId="13"/>
    <tableColumn id="2" xr3:uid="{B709E2F7-0F9A-4404-B0A4-B6E3F17152C5}" name="Fase" dataDxfId="12"/>
    <tableColumn id="3" xr3:uid="{923E67D1-1906-4146-847E-E95A14CB67F4}" name="Proceso" dataDxfId="11"/>
    <tableColumn id="4" xr3:uid="{35E757B7-9B27-48FC-80F2-4EF148D111AF}" name="SubProceso" dataDxfId="10"/>
    <tableColumn id="5" xr3:uid="{C4C5EC56-02BD-41D1-ACBE-8BE479DD4964}" name="Gr.planif.PM" dataDxfId="9"/>
    <tableColumn id="6" xr3:uid="{3C57B2BA-3360-4F1C-A913-520E4D6A561E}" name="Gr.planif" dataDxfId="8"/>
    <tableColumn id="7" xr3:uid="{05867B7C-807C-4B92-95E4-5AFC2FF0A5BC}" name="Clase actividad PM" dataDxfId="7"/>
    <tableColumn id="8" xr3:uid="{68ECE468-48E3-4AF3-8850-FED3CEF11C9F}" name="Actividad PM" dataDxfId="6"/>
    <tableColumn id="9" xr3:uid="{3D5BE583-4247-4ED4-A221-E6DC8C6445B2}" name="Orden mantenimiento" dataDxfId="5"/>
    <tableColumn id="10" xr3:uid="{26C31EDB-3838-44A8-94C9-BEE41E9C8CE9}" name="Txt. Breve" dataDxfId="4"/>
    <tableColumn id="11" xr3:uid="{57F18F17-7E5F-4BAC-9852-CB118B4232C5}" name="Status de Sistema" dataDxfId="3"/>
    <tableColumn id="12" xr3:uid="{ECE84FB1-F8D4-44CA-8C99-8D29BD458997}" name="Clase de orden" dataDxfId="2"/>
    <tableColumn id="13" xr3:uid="{152B3007-9215-4F79-8E0B-393900CE3ABB}" name="Puesto de trabajo" dataDxfId="1"/>
    <tableColumn id="14" xr3:uid="{1B583757-DC40-401D-A1B3-C3FA16D5E08C}" name="Psto. Trabajo" dataDxfId="0"/>
    <tableColumn id="15" xr3:uid="{B1B90FC0-B00C-442A-9227-79094B1C86F1}" name="% Cumpl. Plan Matriz"/>
    <tableColumn id="16" xr3:uid="{66E40130-2F65-43B2-9ECD-1F7F5238CEF2}" name="Plan Matriz"/>
    <tableColumn id="17" xr3:uid="{308A6366-4502-4F51-BF3B-B9B914DC60D8}" name="Coeficiente PMA"/>
    <tableColumn id="18" xr3:uid="{2E2B3EF5-CF97-432F-A541-D2AB926F891C}" name="Cantidad de Operaciones Ejecutadas"/>
    <tableColumn id="19" xr3:uid="{110AF8F3-5408-4B61-BF66-8F0D4E955724}" name="Cantidad de Operaciones totales"/>
    <tableColumn id="20" xr3:uid="{A20F03E6-66BC-4011-B438-7F0ED2725ABD}" name="Crite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AE05-0293-4B8C-A23E-8E2F63E3D75B}">
  <dimension ref="A1:Y102"/>
  <sheetViews>
    <sheetView workbookViewId="0">
      <pane ySplit="1" topLeftCell="A2" activePane="bottomLeft" state="frozen"/>
      <selection pane="bottomLeft" activeCell="H26" sqref="H26"/>
    </sheetView>
  </sheetViews>
  <sheetFormatPr baseColWidth="10" defaultColWidth="9.140625" defaultRowHeight="15" x14ac:dyDescent="0.25"/>
  <cols>
    <col min="1" max="1" width="20" style="40" bestFit="1" customWidth="1"/>
    <col min="2" max="2" width="15" style="40" bestFit="1" customWidth="1"/>
    <col min="3" max="3" width="19" style="40" bestFit="1" customWidth="1"/>
    <col min="4" max="4" width="9" style="40" bestFit="1" customWidth="1"/>
    <col min="5" max="5" width="10" style="40" bestFit="1" customWidth="1"/>
    <col min="6" max="6" width="10" style="40" customWidth="1"/>
    <col min="7" max="7" width="41" style="40" bestFit="1" customWidth="1"/>
    <col min="8" max="8" width="21" style="40" bestFit="1" customWidth="1"/>
    <col min="9" max="9" width="31" style="40" bestFit="1" customWidth="1"/>
    <col min="10" max="11" width="41" style="40" bestFit="1" customWidth="1"/>
    <col min="12" max="12" width="18" style="40" bestFit="1" customWidth="1"/>
    <col min="13" max="13" width="21" style="40" bestFit="1" customWidth="1"/>
    <col min="14" max="14" width="18" style="40" bestFit="1" customWidth="1"/>
    <col min="15" max="15" width="13" style="40" bestFit="1" customWidth="1"/>
    <col min="16" max="16" width="15" style="40" bestFit="1" customWidth="1"/>
    <col min="17" max="17" width="17" style="40" bestFit="1" customWidth="1"/>
    <col min="18" max="20" width="18" style="40" bestFit="1" customWidth="1"/>
    <col min="21" max="21" width="15" style="40" bestFit="1" customWidth="1"/>
    <col min="22" max="22" width="21" style="40" bestFit="1" customWidth="1"/>
    <col min="23" max="23" width="19" style="40" bestFit="1" customWidth="1"/>
    <col min="24" max="24" width="18" style="40" bestFit="1" customWidth="1"/>
    <col min="25" max="25" width="20" style="40" bestFit="1" customWidth="1"/>
    <col min="26" max="16384" width="9.140625" style="40"/>
  </cols>
  <sheetData>
    <row r="1" spans="1:25" x14ac:dyDescent="0.25">
      <c r="A1" s="39" t="s">
        <v>467</v>
      </c>
      <c r="B1" s="39" t="s">
        <v>43</v>
      </c>
      <c r="C1" s="39" t="s">
        <v>44</v>
      </c>
      <c r="D1" s="39" t="s">
        <v>4</v>
      </c>
      <c r="E1" s="39" t="s">
        <v>468</v>
      </c>
      <c r="F1" s="39" t="s">
        <v>467</v>
      </c>
      <c r="G1" s="39" t="s">
        <v>469</v>
      </c>
      <c r="H1" s="39" t="s">
        <v>470</v>
      </c>
      <c r="I1" s="39" t="s">
        <v>471</v>
      </c>
      <c r="J1" s="39" t="s">
        <v>472</v>
      </c>
      <c r="K1" s="39" t="s">
        <v>473</v>
      </c>
      <c r="L1" s="39" t="s">
        <v>474</v>
      </c>
      <c r="M1" s="39" t="s">
        <v>475</v>
      </c>
      <c r="N1" s="39" t="s">
        <v>476</v>
      </c>
      <c r="O1" s="39" t="s">
        <v>477</v>
      </c>
      <c r="P1" s="39" t="s">
        <v>478</v>
      </c>
      <c r="Q1" s="39" t="s">
        <v>479</v>
      </c>
      <c r="R1" s="39" t="s">
        <v>480</v>
      </c>
      <c r="S1" s="39" t="s">
        <v>481</v>
      </c>
      <c r="T1" s="39" t="s">
        <v>153</v>
      </c>
      <c r="U1" s="39" t="s">
        <v>482</v>
      </c>
      <c r="V1" s="39" t="s">
        <v>483</v>
      </c>
      <c r="W1" s="39" t="s">
        <v>484</v>
      </c>
      <c r="X1" s="39" t="s">
        <v>485</v>
      </c>
      <c r="Y1" s="39" t="s">
        <v>486</v>
      </c>
    </row>
    <row r="2" spans="1:25" x14ac:dyDescent="0.25">
      <c r="A2" s="41" t="s">
        <v>445</v>
      </c>
      <c r="B2" s="41" t="s">
        <v>104</v>
      </c>
      <c r="C2" s="41" t="s">
        <v>106</v>
      </c>
      <c r="D2" s="41" t="s">
        <v>487</v>
      </c>
      <c r="E2" s="41" t="s">
        <v>314</v>
      </c>
      <c r="F2" s="41" t="s">
        <v>445</v>
      </c>
      <c r="G2" s="41" t="s">
        <v>315</v>
      </c>
      <c r="H2" s="41" t="s">
        <v>450</v>
      </c>
      <c r="I2" s="41" t="s">
        <v>488</v>
      </c>
      <c r="J2" s="41" t="s">
        <v>489</v>
      </c>
      <c r="K2" s="41" t="s">
        <v>490</v>
      </c>
      <c r="L2" s="41" t="s">
        <v>491</v>
      </c>
      <c r="M2" s="42">
        <v>46108</v>
      </c>
      <c r="N2" s="42">
        <v>46108</v>
      </c>
      <c r="O2" s="41" t="s">
        <v>492</v>
      </c>
      <c r="P2" s="41" t="s">
        <v>493</v>
      </c>
      <c r="Q2" s="42">
        <v>46108</v>
      </c>
      <c r="R2" s="42">
        <v>46091</v>
      </c>
      <c r="S2" s="42">
        <v>46108</v>
      </c>
      <c r="T2" s="42">
        <v>46156</v>
      </c>
      <c r="U2" s="42">
        <v>46156</v>
      </c>
      <c r="V2" s="41" t="s">
        <v>494</v>
      </c>
      <c r="W2" s="41" t="s">
        <v>494</v>
      </c>
      <c r="X2" s="43">
        <v>0.02</v>
      </c>
      <c r="Y2" s="43">
        <v>0.02</v>
      </c>
    </row>
    <row r="3" spans="1:25" x14ac:dyDescent="0.25">
      <c r="A3" s="41" t="s">
        <v>445</v>
      </c>
      <c r="B3" s="41" t="s">
        <v>104</v>
      </c>
      <c r="C3" s="41" t="s">
        <v>106</v>
      </c>
      <c r="D3" s="41" t="s">
        <v>495</v>
      </c>
      <c r="E3" s="41" t="s">
        <v>318</v>
      </c>
      <c r="F3" s="41" t="s">
        <v>445</v>
      </c>
      <c r="G3" s="41" t="s">
        <v>319</v>
      </c>
      <c r="H3" s="41" t="s">
        <v>450</v>
      </c>
      <c r="I3" s="41" t="s">
        <v>496</v>
      </c>
      <c r="J3" s="41" t="s">
        <v>497</v>
      </c>
      <c r="K3" s="41" t="s">
        <v>490</v>
      </c>
      <c r="L3" s="41" t="s">
        <v>498</v>
      </c>
      <c r="M3" s="42">
        <v>46150</v>
      </c>
      <c r="N3" s="42">
        <v>46150</v>
      </c>
      <c r="O3" s="41" t="s">
        <v>499</v>
      </c>
      <c r="P3" s="41" t="s">
        <v>493</v>
      </c>
      <c r="Q3" s="42">
        <v>46149</v>
      </c>
      <c r="R3" s="42">
        <v>46149</v>
      </c>
      <c r="S3" s="42">
        <v>46150</v>
      </c>
      <c r="T3" s="42">
        <v>46154</v>
      </c>
      <c r="U3" s="42">
        <v>46154</v>
      </c>
      <c r="V3" s="41" t="s">
        <v>494</v>
      </c>
      <c r="W3" s="41" t="s">
        <v>494</v>
      </c>
      <c r="X3" s="43">
        <v>267.18</v>
      </c>
      <c r="Y3" s="43">
        <v>267.18</v>
      </c>
    </row>
    <row r="4" spans="1:25" x14ac:dyDescent="0.25">
      <c r="A4" s="41" t="s">
        <v>445</v>
      </c>
      <c r="B4" s="41" t="s">
        <v>52</v>
      </c>
      <c r="C4" s="41" t="s">
        <v>54</v>
      </c>
      <c r="D4" s="41" t="s">
        <v>500</v>
      </c>
      <c r="E4" s="41" t="s">
        <v>294</v>
      </c>
      <c r="F4" s="41" t="s">
        <v>445</v>
      </c>
      <c r="G4" s="41" t="s">
        <v>295</v>
      </c>
      <c r="H4" s="41" t="s">
        <v>450</v>
      </c>
      <c r="I4" s="41" t="s">
        <v>501</v>
      </c>
      <c r="J4" s="41" t="s">
        <v>502</v>
      </c>
      <c r="K4" s="41" t="s">
        <v>503</v>
      </c>
      <c r="L4" s="41" t="s">
        <v>491</v>
      </c>
      <c r="M4" s="42">
        <v>46151</v>
      </c>
      <c r="N4" s="42">
        <v>46152</v>
      </c>
      <c r="O4" s="41" t="s">
        <v>504</v>
      </c>
      <c r="P4" s="41" t="s">
        <v>492</v>
      </c>
      <c r="Q4" s="42">
        <v>46135</v>
      </c>
      <c r="R4" s="42">
        <v>46134</v>
      </c>
      <c r="S4" s="42">
        <v>46151</v>
      </c>
      <c r="T4" s="42">
        <v>46151</v>
      </c>
      <c r="U4" s="41" t="s">
        <v>494</v>
      </c>
      <c r="V4" s="41" t="s">
        <v>494</v>
      </c>
      <c r="W4" s="41" t="s">
        <v>494</v>
      </c>
      <c r="X4" s="43">
        <v>2333.4499999999998</v>
      </c>
      <c r="Y4" s="43">
        <v>2333.52</v>
      </c>
    </row>
    <row r="5" spans="1:25" x14ac:dyDescent="0.25">
      <c r="A5" s="41" t="s">
        <v>445</v>
      </c>
      <c r="B5" s="41" t="s">
        <v>104</v>
      </c>
      <c r="C5" s="41" t="s">
        <v>106</v>
      </c>
      <c r="D5" s="41" t="s">
        <v>505</v>
      </c>
      <c r="E5" s="41" t="s">
        <v>316</v>
      </c>
      <c r="F5" s="41" t="s">
        <v>445</v>
      </c>
      <c r="G5" s="41" t="s">
        <v>317</v>
      </c>
      <c r="H5" s="41" t="s">
        <v>450</v>
      </c>
      <c r="I5" s="41" t="s">
        <v>506</v>
      </c>
      <c r="J5" s="41" t="s">
        <v>507</v>
      </c>
      <c r="K5" s="41" t="s">
        <v>508</v>
      </c>
      <c r="L5" s="41" t="s">
        <v>491</v>
      </c>
      <c r="M5" s="42">
        <v>46151</v>
      </c>
      <c r="N5" s="42">
        <v>46151</v>
      </c>
      <c r="O5" s="41" t="s">
        <v>492</v>
      </c>
      <c r="P5" s="41" t="s">
        <v>492</v>
      </c>
      <c r="Q5" s="42">
        <v>46151</v>
      </c>
      <c r="R5" s="42">
        <v>46146</v>
      </c>
      <c r="S5" s="42">
        <v>46151</v>
      </c>
      <c r="T5" s="42">
        <v>46151</v>
      </c>
      <c r="U5" s="42">
        <v>46154</v>
      </c>
      <c r="V5" s="41" t="s">
        <v>494</v>
      </c>
      <c r="W5" s="41" t="s">
        <v>494</v>
      </c>
      <c r="X5" s="43">
        <v>0.05</v>
      </c>
      <c r="Y5" s="43">
        <v>0.05</v>
      </c>
    </row>
    <row r="6" spans="1:25" x14ac:dyDescent="0.25">
      <c r="A6" s="41" t="s">
        <v>445</v>
      </c>
      <c r="B6" s="41" t="s">
        <v>52</v>
      </c>
      <c r="C6" s="41" t="s">
        <v>54</v>
      </c>
      <c r="D6" s="41" t="s">
        <v>509</v>
      </c>
      <c r="E6" s="41" t="s">
        <v>271</v>
      </c>
      <c r="F6" s="41" t="s">
        <v>445</v>
      </c>
      <c r="G6" s="41" t="s">
        <v>272</v>
      </c>
      <c r="H6" s="41" t="s">
        <v>450</v>
      </c>
      <c r="I6" s="41" t="s">
        <v>510</v>
      </c>
      <c r="J6" s="41" t="s">
        <v>511</v>
      </c>
      <c r="K6" s="41" t="s">
        <v>512</v>
      </c>
      <c r="L6" s="41" t="s">
        <v>498</v>
      </c>
      <c r="M6" s="42">
        <v>46153</v>
      </c>
      <c r="N6" s="42">
        <v>46153</v>
      </c>
      <c r="O6" s="41" t="s">
        <v>513</v>
      </c>
      <c r="P6" s="41" t="s">
        <v>492</v>
      </c>
      <c r="Q6" s="42">
        <v>45680</v>
      </c>
      <c r="R6" s="42">
        <v>45679</v>
      </c>
      <c r="S6" s="42">
        <v>46153</v>
      </c>
      <c r="T6" s="42">
        <v>46153</v>
      </c>
      <c r="U6" s="42">
        <v>46159</v>
      </c>
      <c r="V6" s="41" t="s">
        <v>494</v>
      </c>
      <c r="W6" s="41" t="s">
        <v>494</v>
      </c>
      <c r="X6" s="43">
        <v>6629.25</v>
      </c>
      <c r="Y6" s="43">
        <v>6629.25</v>
      </c>
    </row>
    <row r="7" spans="1:25" x14ac:dyDescent="0.25">
      <c r="A7" s="41" t="s">
        <v>445</v>
      </c>
      <c r="B7" s="41" t="s">
        <v>52</v>
      </c>
      <c r="C7" s="41" t="s">
        <v>54</v>
      </c>
      <c r="D7" s="41" t="s">
        <v>514</v>
      </c>
      <c r="E7" s="41" t="s">
        <v>274</v>
      </c>
      <c r="F7" s="41" t="s">
        <v>445</v>
      </c>
      <c r="G7" s="41" t="s">
        <v>275</v>
      </c>
      <c r="H7" s="41" t="s">
        <v>450</v>
      </c>
      <c r="I7" s="41" t="s">
        <v>515</v>
      </c>
      <c r="J7" s="41" t="s">
        <v>516</v>
      </c>
      <c r="K7" s="41" t="s">
        <v>512</v>
      </c>
      <c r="L7" s="41" t="s">
        <v>498</v>
      </c>
      <c r="M7" s="42">
        <v>46153</v>
      </c>
      <c r="N7" s="42">
        <v>46153</v>
      </c>
      <c r="O7" s="41" t="s">
        <v>513</v>
      </c>
      <c r="P7" s="41" t="s">
        <v>492</v>
      </c>
      <c r="Q7" s="42">
        <v>45700</v>
      </c>
      <c r="R7" s="42">
        <v>45700</v>
      </c>
      <c r="S7" s="42">
        <v>46153</v>
      </c>
      <c r="T7" s="42">
        <v>46153</v>
      </c>
      <c r="U7" s="42">
        <v>46159</v>
      </c>
      <c r="V7" s="41" t="s">
        <v>494</v>
      </c>
      <c r="W7" s="41" t="s">
        <v>494</v>
      </c>
      <c r="X7" s="43">
        <v>7683.93</v>
      </c>
      <c r="Y7" s="43">
        <v>8026.39</v>
      </c>
    </row>
    <row r="8" spans="1:25" x14ac:dyDescent="0.25">
      <c r="A8" s="41" t="s">
        <v>443</v>
      </c>
      <c r="B8" s="41" t="s">
        <v>52</v>
      </c>
      <c r="C8" s="41" t="s">
        <v>124</v>
      </c>
      <c r="D8" s="41" t="s">
        <v>517</v>
      </c>
      <c r="E8" s="41" t="s">
        <v>169</v>
      </c>
      <c r="F8" s="41" t="s">
        <v>443</v>
      </c>
      <c r="G8" s="41" t="s">
        <v>170</v>
      </c>
      <c r="H8" s="41" t="s">
        <v>444</v>
      </c>
      <c r="I8" s="41" t="s">
        <v>518</v>
      </c>
      <c r="J8" s="41" t="s">
        <v>519</v>
      </c>
      <c r="K8" s="41" t="s">
        <v>432</v>
      </c>
      <c r="L8" s="41" t="s">
        <v>498</v>
      </c>
      <c r="M8" s="42">
        <v>46153</v>
      </c>
      <c r="N8" s="42">
        <v>46154</v>
      </c>
      <c r="O8" s="41" t="s">
        <v>520</v>
      </c>
      <c r="P8" s="41" t="s">
        <v>521</v>
      </c>
      <c r="Q8" s="42">
        <v>46139</v>
      </c>
      <c r="R8" s="42">
        <v>46093</v>
      </c>
      <c r="S8" s="42">
        <v>46153</v>
      </c>
      <c r="T8" s="42">
        <v>46153</v>
      </c>
      <c r="U8" s="42">
        <v>46154</v>
      </c>
      <c r="V8" s="41" t="s">
        <v>522</v>
      </c>
      <c r="W8" s="41" t="s">
        <v>523</v>
      </c>
      <c r="X8" s="43">
        <v>1812.8</v>
      </c>
      <c r="Y8" s="43">
        <v>1812.8</v>
      </c>
    </row>
    <row r="9" spans="1:25" x14ac:dyDescent="0.25">
      <c r="A9" s="41" t="s">
        <v>445</v>
      </c>
      <c r="B9" s="41" t="s">
        <v>52</v>
      </c>
      <c r="C9" s="41" t="s">
        <v>100</v>
      </c>
      <c r="D9" s="41" t="s">
        <v>524</v>
      </c>
      <c r="E9" s="41" t="s">
        <v>229</v>
      </c>
      <c r="F9" s="41" t="s">
        <v>445</v>
      </c>
      <c r="G9" s="41" t="s">
        <v>230</v>
      </c>
      <c r="H9" s="41" t="s">
        <v>450</v>
      </c>
      <c r="I9" s="41" t="s">
        <v>525</v>
      </c>
      <c r="J9" s="41" t="s">
        <v>526</v>
      </c>
      <c r="K9" s="41" t="s">
        <v>432</v>
      </c>
      <c r="L9" s="41" t="s">
        <v>491</v>
      </c>
      <c r="M9" s="42">
        <v>46153</v>
      </c>
      <c r="N9" s="42">
        <v>46153</v>
      </c>
      <c r="O9" s="41" t="s">
        <v>527</v>
      </c>
      <c r="P9" s="41" t="s">
        <v>493</v>
      </c>
      <c r="Q9" s="42">
        <v>46145</v>
      </c>
      <c r="R9" s="42">
        <v>46126</v>
      </c>
      <c r="S9" s="42">
        <v>46153</v>
      </c>
      <c r="T9" s="42">
        <v>46153</v>
      </c>
      <c r="U9" s="42">
        <v>46153</v>
      </c>
      <c r="V9" s="41" t="s">
        <v>528</v>
      </c>
      <c r="W9" s="41" t="s">
        <v>529</v>
      </c>
      <c r="X9" s="43">
        <v>89.11</v>
      </c>
      <c r="Y9" s="43">
        <v>89.11</v>
      </c>
    </row>
    <row r="10" spans="1:25" x14ac:dyDescent="0.25">
      <c r="A10" s="41" t="s">
        <v>445</v>
      </c>
      <c r="B10" s="41" t="s">
        <v>52</v>
      </c>
      <c r="C10" s="41" t="s">
        <v>100</v>
      </c>
      <c r="D10" s="41" t="s">
        <v>530</v>
      </c>
      <c r="E10" s="41" t="s">
        <v>239</v>
      </c>
      <c r="F10" s="41" t="s">
        <v>445</v>
      </c>
      <c r="G10" s="41" t="s">
        <v>240</v>
      </c>
      <c r="H10" s="41" t="s">
        <v>450</v>
      </c>
      <c r="I10" s="41" t="s">
        <v>531</v>
      </c>
      <c r="J10" s="41" t="s">
        <v>532</v>
      </c>
      <c r="K10" s="41" t="s">
        <v>432</v>
      </c>
      <c r="L10" s="41" t="s">
        <v>498</v>
      </c>
      <c r="M10" s="42">
        <v>46153</v>
      </c>
      <c r="N10" s="42">
        <v>46153</v>
      </c>
      <c r="O10" s="41" t="s">
        <v>527</v>
      </c>
      <c r="P10" s="41" t="s">
        <v>493</v>
      </c>
      <c r="Q10" s="42">
        <v>46145</v>
      </c>
      <c r="R10" s="42">
        <v>46126</v>
      </c>
      <c r="S10" s="42">
        <v>46153</v>
      </c>
      <c r="T10" s="42">
        <v>46153</v>
      </c>
      <c r="U10" s="42">
        <v>46153</v>
      </c>
      <c r="V10" s="41" t="s">
        <v>533</v>
      </c>
      <c r="W10" s="41" t="s">
        <v>534</v>
      </c>
      <c r="X10" s="43">
        <v>267.35000000000002</v>
      </c>
      <c r="Y10" s="43">
        <v>267.35000000000002</v>
      </c>
    </row>
    <row r="11" spans="1:25" x14ac:dyDescent="0.25">
      <c r="A11" s="41" t="s">
        <v>445</v>
      </c>
      <c r="B11" s="41" t="s">
        <v>52</v>
      </c>
      <c r="C11" s="41" t="s">
        <v>100</v>
      </c>
      <c r="D11" s="41" t="s">
        <v>535</v>
      </c>
      <c r="E11" s="41" t="s">
        <v>244</v>
      </c>
      <c r="F11" s="41" t="s">
        <v>445</v>
      </c>
      <c r="G11" s="41" t="s">
        <v>245</v>
      </c>
      <c r="H11" s="41" t="s">
        <v>450</v>
      </c>
      <c r="I11" s="41" t="s">
        <v>536</v>
      </c>
      <c r="J11" s="41" t="s">
        <v>537</v>
      </c>
      <c r="K11" s="41" t="s">
        <v>432</v>
      </c>
      <c r="L11" s="41" t="s">
        <v>491</v>
      </c>
      <c r="M11" s="42">
        <v>46153</v>
      </c>
      <c r="N11" s="42">
        <v>46153</v>
      </c>
      <c r="O11" s="41" t="s">
        <v>527</v>
      </c>
      <c r="P11" s="41" t="s">
        <v>493</v>
      </c>
      <c r="Q11" s="42">
        <v>46145</v>
      </c>
      <c r="R11" s="42">
        <v>46126</v>
      </c>
      <c r="S11" s="42">
        <v>46153</v>
      </c>
      <c r="T11" s="42">
        <v>46153</v>
      </c>
      <c r="U11" s="42">
        <v>46153</v>
      </c>
      <c r="V11" s="41" t="s">
        <v>538</v>
      </c>
      <c r="W11" s="41" t="s">
        <v>539</v>
      </c>
      <c r="X11" s="43">
        <v>0.06</v>
      </c>
      <c r="Y11" s="43">
        <v>0.06</v>
      </c>
    </row>
    <row r="12" spans="1:25" x14ac:dyDescent="0.25">
      <c r="A12" s="41" t="s">
        <v>443</v>
      </c>
      <c r="B12" s="41" t="s">
        <v>52</v>
      </c>
      <c r="C12" s="41" t="s">
        <v>124</v>
      </c>
      <c r="D12" s="41" t="s">
        <v>540</v>
      </c>
      <c r="E12" s="41" t="s">
        <v>360</v>
      </c>
      <c r="F12" s="41" t="s">
        <v>443</v>
      </c>
      <c r="G12" s="41" t="s">
        <v>133</v>
      </c>
      <c r="H12" s="41" t="s">
        <v>444</v>
      </c>
      <c r="I12" s="41" t="s">
        <v>541</v>
      </c>
      <c r="J12" s="41" t="s">
        <v>542</v>
      </c>
      <c r="K12" s="41" t="s">
        <v>432</v>
      </c>
      <c r="L12" s="41" t="s">
        <v>498</v>
      </c>
      <c r="M12" s="42">
        <v>46153</v>
      </c>
      <c r="N12" s="42">
        <v>46153</v>
      </c>
      <c r="O12" s="41" t="s">
        <v>543</v>
      </c>
      <c r="P12" s="41" t="s">
        <v>544</v>
      </c>
      <c r="Q12" s="42">
        <v>46139</v>
      </c>
      <c r="R12" s="42">
        <v>46128</v>
      </c>
      <c r="S12" s="42">
        <v>46153</v>
      </c>
      <c r="T12" s="42">
        <v>46153</v>
      </c>
      <c r="U12" s="42">
        <v>46153</v>
      </c>
      <c r="V12" s="41" t="s">
        <v>545</v>
      </c>
      <c r="W12" s="41" t="s">
        <v>546</v>
      </c>
      <c r="X12" s="43">
        <v>82.4</v>
      </c>
      <c r="Y12" s="43">
        <v>82.4</v>
      </c>
    </row>
    <row r="13" spans="1:25" x14ac:dyDescent="0.25">
      <c r="A13" s="41" t="s">
        <v>443</v>
      </c>
      <c r="B13" s="41" t="s">
        <v>52</v>
      </c>
      <c r="C13" s="41" t="s">
        <v>124</v>
      </c>
      <c r="D13" s="41" t="s">
        <v>547</v>
      </c>
      <c r="E13" s="41" t="s">
        <v>361</v>
      </c>
      <c r="F13" s="41" t="s">
        <v>443</v>
      </c>
      <c r="G13" s="41" t="s">
        <v>135</v>
      </c>
      <c r="H13" s="41" t="s">
        <v>444</v>
      </c>
      <c r="I13" s="41" t="s">
        <v>548</v>
      </c>
      <c r="J13" s="41" t="s">
        <v>549</v>
      </c>
      <c r="K13" s="41" t="s">
        <v>432</v>
      </c>
      <c r="L13" s="41" t="s">
        <v>498</v>
      </c>
      <c r="M13" s="42">
        <v>46153</v>
      </c>
      <c r="N13" s="42">
        <v>46153</v>
      </c>
      <c r="O13" s="41" t="s">
        <v>543</v>
      </c>
      <c r="P13" s="41" t="s">
        <v>544</v>
      </c>
      <c r="Q13" s="42">
        <v>46139</v>
      </c>
      <c r="R13" s="42">
        <v>46128</v>
      </c>
      <c r="S13" s="42">
        <v>46153</v>
      </c>
      <c r="T13" s="42">
        <v>46153</v>
      </c>
      <c r="U13" s="42">
        <v>46153</v>
      </c>
      <c r="V13" s="41" t="s">
        <v>550</v>
      </c>
      <c r="W13" s="41" t="s">
        <v>551</v>
      </c>
      <c r="X13" s="43">
        <v>82.4</v>
      </c>
      <c r="Y13" s="43">
        <v>82.4</v>
      </c>
    </row>
    <row r="14" spans="1:25" x14ac:dyDescent="0.25">
      <c r="A14" s="41" t="s">
        <v>445</v>
      </c>
      <c r="B14" s="41" t="s">
        <v>52</v>
      </c>
      <c r="C14" s="41" t="s">
        <v>54</v>
      </c>
      <c r="D14" s="41" t="s">
        <v>552</v>
      </c>
      <c r="E14" s="41" t="s">
        <v>300</v>
      </c>
      <c r="F14" s="41" t="s">
        <v>445</v>
      </c>
      <c r="G14" s="41" t="s">
        <v>301</v>
      </c>
      <c r="H14" s="41" t="s">
        <v>450</v>
      </c>
      <c r="I14" s="41" t="s">
        <v>553</v>
      </c>
      <c r="J14" s="41" t="s">
        <v>554</v>
      </c>
      <c r="K14" s="41" t="s">
        <v>432</v>
      </c>
      <c r="L14" s="41" t="s">
        <v>498</v>
      </c>
      <c r="M14" s="42">
        <v>46153</v>
      </c>
      <c r="N14" s="42">
        <v>46153</v>
      </c>
      <c r="O14" s="41" t="s">
        <v>504</v>
      </c>
      <c r="P14" s="41" t="s">
        <v>493</v>
      </c>
      <c r="Q14" s="42">
        <v>46145</v>
      </c>
      <c r="R14" s="42">
        <v>46140</v>
      </c>
      <c r="S14" s="42">
        <v>46153</v>
      </c>
      <c r="T14" s="42">
        <v>46158</v>
      </c>
      <c r="U14" s="42">
        <v>46158</v>
      </c>
      <c r="V14" s="41" t="s">
        <v>494</v>
      </c>
      <c r="W14" s="41" t="s">
        <v>494</v>
      </c>
      <c r="X14" s="43">
        <v>561.07000000000005</v>
      </c>
      <c r="Y14" s="43">
        <v>543.28</v>
      </c>
    </row>
    <row r="15" spans="1:25" x14ac:dyDescent="0.25">
      <c r="A15" s="41" t="s">
        <v>445</v>
      </c>
      <c r="B15" s="41" t="s">
        <v>52</v>
      </c>
      <c r="C15" s="41" t="s">
        <v>54</v>
      </c>
      <c r="D15" s="41" t="s">
        <v>555</v>
      </c>
      <c r="E15" s="41" t="s">
        <v>306</v>
      </c>
      <c r="F15" s="41" t="s">
        <v>445</v>
      </c>
      <c r="G15" s="41" t="s">
        <v>307</v>
      </c>
      <c r="H15" s="41" t="s">
        <v>450</v>
      </c>
      <c r="I15" s="41" t="s">
        <v>501</v>
      </c>
      <c r="J15" s="41" t="s">
        <v>502</v>
      </c>
      <c r="K15" s="41" t="s">
        <v>512</v>
      </c>
      <c r="L15" s="41" t="s">
        <v>491</v>
      </c>
      <c r="M15" s="42">
        <v>46153</v>
      </c>
      <c r="N15" s="42">
        <v>46157</v>
      </c>
      <c r="O15" s="41" t="s">
        <v>504</v>
      </c>
      <c r="P15" s="41" t="s">
        <v>556</v>
      </c>
      <c r="Q15" s="42">
        <v>46142</v>
      </c>
      <c r="R15" s="42">
        <v>46140</v>
      </c>
      <c r="S15" s="42">
        <v>46153</v>
      </c>
      <c r="T15" s="42">
        <v>46154</v>
      </c>
      <c r="U15" s="42">
        <v>46158</v>
      </c>
      <c r="V15" s="41" t="s">
        <v>494</v>
      </c>
      <c r="W15" s="41" t="s">
        <v>494</v>
      </c>
      <c r="X15" s="43">
        <v>9017.23</v>
      </c>
      <c r="Y15" s="43">
        <v>9788.3799999999992</v>
      </c>
    </row>
    <row r="16" spans="1:25" x14ac:dyDescent="0.25">
      <c r="A16" s="41" t="s">
        <v>445</v>
      </c>
      <c r="B16" s="41" t="s">
        <v>52</v>
      </c>
      <c r="C16" s="41" t="s">
        <v>54</v>
      </c>
      <c r="D16" s="41" t="s">
        <v>557</v>
      </c>
      <c r="E16" s="41" t="s">
        <v>308</v>
      </c>
      <c r="F16" s="41" t="s">
        <v>445</v>
      </c>
      <c r="G16" s="41" t="s">
        <v>309</v>
      </c>
      <c r="H16" s="41" t="s">
        <v>450</v>
      </c>
      <c r="I16" s="41" t="s">
        <v>558</v>
      </c>
      <c r="J16" s="41" t="s">
        <v>559</v>
      </c>
      <c r="K16" s="41" t="s">
        <v>503</v>
      </c>
      <c r="L16" s="41" t="s">
        <v>491</v>
      </c>
      <c r="M16" s="42">
        <v>46153</v>
      </c>
      <c r="N16" s="42">
        <v>46157</v>
      </c>
      <c r="O16" s="41" t="s">
        <v>504</v>
      </c>
      <c r="P16" s="41" t="s">
        <v>492</v>
      </c>
      <c r="Q16" s="42">
        <v>46145</v>
      </c>
      <c r="R16" s="42">
        <v>46140</v>
      </c>
      <c r="S16" s="42">
        <v>46153</v>
      </c>
      <c r="T16" s="42">
        <v>46154</v>
      </c>
      <c r="U16" s="41" t="s">
        <v>494</v>
      </c>
      <c r="V16" s="41" t="s">
        <v>494</v>
      </c>
      <c r="W16" s="41" t="s">
        <v>494</v>
      </c>
      <c r="X16" s="43">
        <v>0.66</v>
      </c>
      <c r="Y16" s="43">
        <v>2494.34</v>
      </c>
    </row>
    <row r="17" spans="1:25" x14ac:dyDescent="0.25">
      <c r="A17" s="41" t="s">
        <v>445</v>
      </c>
      <c r="B17" s="41" t="s">
        <v>52</v>
      </c>
      <c r="C17" s="41" t="s">
        <v>100</v>
      </c>
      <c r="D17" s="41" t="s">
        <v>560</v>
      </c>
      <c r="E17" s="41" t="s">
        <v>265</v>
      </c>
      <c r="F17" s="41" t="s">
        <v>445</v>
      </c>
      <c r="G17" s="41" t="s">
        <v>266</v>
      </c>
      <c r="H17" s="41" t="s">
        <v>450</v>
      </c>
      <c r="I17" s="41" t="s">
        <v>561</v>
      </c>
      <c r="J17" s="41" t="s">
        <v>502</v>
      </c>
      <c r="K17" s="41" t="s">
        <v>503</v>
      </c>
      <c r="L17" s="41" t="s">
        <v>491</v>
      </c>
      <c r="M17" s="42">
        <v>46153</v>
      </c>
      <c r="N17" s="42">
        <v>46157</v>
      </c>
      <c r="O17" s="41" t="s">
        <v>562</v>
      </c>
      <c r="P17" s="41" t="s">
        <v>563</v>
      </c>
      <c r="Q17" s="42">
        <v>46145</v>
      </c>
      <c r="R17" s="42">
        <v>46141</v>
      </c>
      <c r="S17" s="42">
        <v>46153</v>
      </c>
      <c r="T17" s="42">
        <v>46151</v>
      </c>
      <c r="U17" s="41" t="s">
        <v>494</v>
      </c>
      <c r="V17" s="41" t="s">
        <v>564</v>
      </c>
      <c r="W17" s="41" t="s">
        <v>565</v>
      </c>
      <c r="X17" s="43">
        <v>4185.97</v>
      </c>
      <c r="Y17" s="43">
        <v>5878.11</v>
      </c>
    </row>
    <row r="18" spans="1:25" x14ac:dyDescent="0.25">
      <c r="A18" s="41" t="s">
        <v>445</v>
      </c>
      <c r="B18" s="41" t="s">
        <v>52</v>
      </c>
      <c r="C18" s="41" t="s">
        <v>54</v>
      </c>
      <c r="D18" s="41" t="s">
        <v>566</v>
      </c>
      <c r="E18" s="41" t="s">
        <v>310</v>
      </c>
      <c r="F18" s="41" t="s">
        <v>445</v>
      </c>
      <c r="G18" s="41" t="s">
        <v>311</v>
      </c>
      <c r="H18" s="41" t="s">
        <v>450</v>
      </c>
      <c r="I18" s="41" t="s">
        <v>567</v>
      </c>
      <c r="J18" s="41" t="s">
        <v>568</v>
      </c>
      <c r="K18" s="41" t="s">
        <v>503</v>
      </c>
      <c r="L18" s="41" t="s">
        <v>491</v>
      </c>
      <c r="M18" s="42">
        <v>46153</v>
      </c>
      <c r="N18" s="42">
        <v>46155</v>
      </c>
      <c r="O18" s="41" t="s">
        <v>504</v>
      </c>
      <c r="P18" s="41" t="s">
        <v>492</v>
      </c>
      <c r="Q18" s="42">
        <v>46145</v>
      </c>
      <c r="R18" s="42">
        <v>46142</v>
      </c>
      <c r="S18" s="42">
        <v>46153</v>
      </c>
      <c r="T18" s="42">
        <v>46153</v>
      </c>
      <c r="U18" s="41" t="s">
        <v>494</v>
      </c>
      <c r="V18" s="41" t="s">
        <v>494</v>
      </c>
      <c r="W18" s="41" t="s">
        <v>494</v>
      </c>
      <c r="X18" s="43">
        <v>0.22</v>
      </c>
      <c r="Y18" s="43">
        <v>0.28000000000000003</v>
      </c>
    </row>
    <row r="19" spans="1:25" x14ac:dyDescent="0.25">
      <c r="A19" s="41" t="s">
        <v>445</v>
      </c>
      <c r="B19" s="41" t="s">
        <v>104</v>
      </c>
      <c r="C19" s="41" t="s">
        <v>106</v>
      </c>
      <c r="D19" s="41" t="s">
        <v>569</v>
      </c>
      <c r="E19" s="41" t="s">
        <v>321</v>
      </c>
      <c r="F19" s="41" t="s">
        <v>445</v>
      </c>
      <c r="G19" s="41" t="s">
        <v>322</v>
      </c>
      <c r="H19" s="41" t="s">
        <v>450</v>
      </c>
      <c r="I19" s="41" t="s">
        <v>570</v>
      </c>
      <c r="J19" s="41" t="s">
        <v>571</v>
      </c>
      <c r="K19" s="41" t="s">
        <v>490</v>
      </c>
      <c r="L19" s="41" t="s">
        <v>498</v>
      </c>
      <c r="M19" s="42">
        <v>46153</v>
      </c>
      <c r="N19" s="42">
        <v>46153</v>
      </c>
      <c r="O19" s="41" t="s">
        <v>499</v>
      </c>
      <c r="P19" s="41" t="s">
        <v>493</v>
      </c>
      <c r="Q19" s="42">
        <v>46153</v>
      </c>
      <c r="R19" s="42">
        <v>46149</v>
      </c>
      <c r="S19" s="42">
        <v>46153</v>
      </c>
      <c r="T19" s="42">
        <v>46151</v>
      </c>
      <c r="U19" s="42">
        <v>46154</v>
      </c>
      <c r="V19" s="41" t="s">
        <v>494</v>
      </c>
      <c r="W19" s="41" t="s">
        <v>494</v>
      </c>
      <c r="X19" s="43">
        <v>267.18</v>
      </c>
      <c r="Y19" s="43">
        <v>267.18</v>
      </c>
    </row>
    <row r="20" spans="1:25" x14ac:dyDescent="0.25">
      <c r="A20" s="41" t="s">
        <v>445</v>
      </c>
      <c r="B20" s="41" t="s">
        <v>104</v>
      </c>
      <c r="C20" s="41" t="s">
        <v>106</v>
      </c>
      <c r="D20" s="41" t="s">
        <v>572</v>
      </c>
      <c r="E20" s="41" t="s">
        <v>323</v>
      </c>
      <c r="F20" s="41" t="s">
        <v>445</v>
      </c>
      <c r="G20" s="41" t="s">
        <v>324</v>
      </c>
      <c r="H20" s="41" t="s">
        <v>450</v>
      </c>
      <c r="I20" s="41" t="s">
        <v>573</v>
      </c>
      <c r="J20" s="41" t="s">
        <v>574</v>
      </c>
      <c r="K20" s="41" t="s">
        <v>490</v>
      </c>
      <c r="L20" s="41" t="s">
        <v>491</v>
      </c>
      <c r="M20" s="42">
        <v>46153</v>
      </c>
      <c r="N20" s="42">
        <v>46153</v>
      </c>
      <c r="O20" s="41" t="s">
        <v>492</v>
      </c>
      <c r="P20" s="41" t="s">
        <v>493</v>
      </c>
      <c r="Q20" s="42">
        <v>46153</v>
      </c>
      <c r="R20" s="42">
        <v>46152</v>
      </c>
      <c r="S20" s="42">
        <v>46153</v>
      </c>
      <c r="T20" s="42">
        <v>46153</v>
      </c>
      <c r="U20" s="42">
        <v>46153</v>
      </c>
      <c r="V20" s="41" t="s">
        <v>494</v>
      </c>
      <c r="W20" s="41" t="s">
        <v>494</v>
      </c>
      <c r="X20" s="43">
        <v>0.04</v>
      </c>
      <c r="Y20" s="43">
        <v>0.04</v>
      </c>
    </row>
    <row r="21" spans="1:25" x14ac:dyDescent="0.25">
      <c r="A21" s="41" t="s">
        <v>445</v>
      </c>
      <c r="B21" s="41" t="s">
        <v>104</v>
      </c>
      <c r="C21" s="41" t="s">
        <v>106</v>
      </c>
      <c r="D21" s="41" t="s">
        <v>575</v>
      </c>
      <c r="E21" s="41" t="s">
        <v>327</v>
      </c>
      <c r="F21" s="41" t="s">
        <v>445</v>
      </c>
      <c r="G21" s="41" t="s">
        <v>328</v>
      </c>
      <c r="H21" s="41" t="s">
        <v>450</v>
      </c>
      <c r="I21" s="41" t="s">
        <v>576</v>
      </c>
      <c r="J21" s="41" t="s">
        <v>577</v>
      </c>
      <c r="K21" s="41" t="s">
        <v>490</v>
      </c>
      <c r="L21" s="41" t="s">
        <v>498</v>
      </c>
      <c r="M21" s="42">
        <v>46153</v>
      </c>
      <c r="N21" s="42">
        <v>46153</v>
      </c>
      <c r="O21" s="41" t="s">
        <v>492</v>
      </c>
      <c r="P21" s="41" t="s">
        <v>493</v>
      </c>
      <c r="Q21" s="42">
        <v>46154</v>
      </c>
      <c r="R21" s="42">
        <v>46153</v>
      </c>
      <c r="S21" s="42">
        <v>46153</v>
      </c>
      <c r="T21" s="42">
        <v>46153</v>
      </c>
      <c r="U21" s="42">
        <v>46153</v>
      </c>
      <c r="V21" s="41" t="s">
        <v>494</v>
      </c>
      <c r="W21" s="41" t="s">
        <v>494</v>
      </c>
      <c r="X21" s="43">
        <v>89.08</v>
      </c>
      <c r="Y21" s="43">
        <v>89.08</v>
      </c>
    </row>
    <row r="22" spans="1:25" x14ac:dyDescent="0.25">
      <c r="A22" s="41" t="s">
        <v>445</v>
      </c>
      <c r="B22" s="41" t="s">
        <v>104</v>
      </c>
      <c r="C22" s="41" t="s">
        <v>106</v>
      </c>
      <c r="D22" s="41" t="s">
        <v>578</v>
      </c>
      <c r="E22" s="41" t="s">
        <v>329</v>
      </c>
      <c r="F22" s="41" t="s">
        <v>445</v>
      </c>
      <c r="G22" s="41" t="s">
        <v>330</v>
      </c>
      <c r="H22" s="41" t="s">
        <v>450</v>
      </c>
      <c r="I22" s="41" t="s">
        <v>579</v>
      </c>
      <c r="J22" s="41" t="s">
        <v>580</v>
      </c>
      <c r="K22" s="41" t="s">
        <v>490</v>
      </c>
      <c r="L22" s="41" t="s">
        <v>498</v>
      </c>
      <c r="M22" s="42">
        <v>46153</v>
      </c>
      <c r="N22" s="42">
        <v>46153</v>
      </c>
      <c r="O22" s="41" t="s">
        <v>581</v>
      </c>
      <c r="P22" s="41" t="s">
        <v>493</v>
      </c>
      <c r="Q22" s="42">
        <v>46153</v>
      </c>
      <c r="R22" s="42">
        <v>46153</v>
      </c>
      <c r="S22" s="42">
        <v>46153</v>
      </c>
      <c r="T22" s="42">
        <v>46153</v>
      </c>
      <c r="U22" s="42">
        <v>46153</v>
      </c>
      <c r="V22" s="41" t="s">
        <v>494</v>
      </c>
      <c r="W22" s="41" t="s">
        <v>494</v>
      </c>
      <c r="X22" s="43">
        <v>89.06</v>
      </c>
      <c r="Y22" s="43">
        <v>89.06</v>
      </c>
    </row>
    <row r="23" spans="1:25" x14ac:dyDescent="0.25">
      <c r="A23" s="41" t="s">
        <v>445</v>
      </c>
      <c r="B23" s="41" t="s">
        <v>52</v>
      </c>
      <c r="C23" s="41" t="s">
        <v>54</v>
      </c>
      <c r="D23" s="41" t="s">
        <v>582</v>
      </c>
      <c r="E23" s="41" t="s">
        <v>276</v>
      </c>
      <c r="F23" s="41" t="s">
        <v>445</v>
      </c>
      <c r="G23" s="41" t="s">
        <v>277</v>
      </c>
      <c r="H23" s="41" t="s">
        <v>450</v>
      </c>
      <c r="I23" s="41" t="s">
        <v>583</v>
      </c>
      <c r="J23" s="41" t="s">
        <v>584</v>
      </c>
      <c r="K23" s="41" t="s">
        <v>512</v>
      </c>
      <c r="L23" s="41" t="s">
        <v>498</v>
      </c>
      <c r="M23" s="42">
        <v>46154</v>
      </c>
      <c r="N23" s="42">
        <v>46154</v>
      </c>
      <c r="O23" s="41" t="s">
        <v>513</v>
      </c>
      <c r="P23" s="41" t="s">
        <v>492</v>
      </c>
      <c r="Q23" s="42">
        <v>45700</v>
      </c>
      <c r="R23" s="42">
        <v>45700</v>
      </c>
      <c r="S23" s="42">
        <v>46154</v>
      </c>
      <c r="T23" s="42">
        <v>46154</v>
      </c>
      <c r="U23" s="42">
        <v>46159</v>
      </c>
      <c r="V23" s="41" t="s">
        <v>494</v>
      </c>
      <c r="W23" s="41" t="s">
        <v>494</v>
      </c>
      <c r="X23" s="43">
        <v>7582.67</v>
      </c>
      <c r="Y23" s="43">
        <v>7920.56</v>
      </c>
    </row>
    <row r="24" spans="1:25" x14ac:dyDescent="0.25">
      <c r="A24" s="41" t="s">
        <v>445</v>
      </c>
      <c r="B24" s="41" t="s">
        <v>52</v>
      </c>
      <c r="C24" s="41" t="s">
        <v>54</v>
      </c>
      <c r="D24" s="41" t="s">
        <v>585</v>
      </c>
      <c r="E24" s="41" t="s">
        <v>278</v>
      </c>
      <c r="F24" s="41" t="s">
        <v>445</v>
      </c>
      <c r="G24" s="41" t="s">
        <v>279</v>
      </c>
      <c r="H24" s="41" t="s">
        <v>450</v>
      </c>
      <c r="I24" s="41" t="s">
        <v>515</v>
      </c>
      <c r="J24" s="41" t="s">
        <v>516</v>
      </c>
      <c r="K24" s="41" t="s">
        <v>512</v>
      </c>
      <c r="L24" s="41" t="s">
        <v>498</v>
      </c>
      <c r="M24" s="42">
        <v>46154</v>
      </c>
      <c r="N24" s="42">
        <v>46154</v>
      </c>
      <c r="O24" s="41" t="s">
        <v>513</v>
      </c>
      <c r="P24" s="41" t="s">
        <v>492</v>
      </c>
      <c r="Q24" s="42">
        <v>45722</v>
      </c>
      <c r="R24" s="42">
        <v>45722</v>
      </c>
      <c r="S24" s="42">
        <v>46154</v>
      </c>
      <c r="T24" s="42">
        <v>46154</v>
      </c>
      <c r="U24" s="42">
        <v>46159</v>
      </c>
      <c r="V24" s="41" t="s">
        <v>494</v>
      </c>
      <c r="W24" s="41" t="s">
        <v>494</v>
      </c>
      <c r="X24" s="43">
        <v>3369.76</v>
      </c>
      <c r="Y24" s="43">
        <v>3369.76</v>
      </c>
    </row>
    <row r="25" spans="1:25" x14ac:dyDescent="0.25">
      <c r="A25" s="41" t="s">
        <v>445</v>
      </c>
      <c r="B25" s="41" t="s">
        <v>52</v>
      </c>
      <c r="C25" s="41" t="s">
        <v>54</v>
      </c>
      <c r="D25" s="41" t="s">
        <v>586</v>
      </c>
      <c r="E25" s="41" t="s">
        <v>290</v>
      </c>
      <c r="F25" s="41" t="s">
        <v>445</v>
      </c>
      <c r="G25" s="41" t="s">
        <v>291</v>
      </c>
      <c r="H25" s="41" t="s">
        <v>450</v>
      </c>
      <c r="I25" s="41" t="s">
        <v>587</v>
      </c>
      <c r="J25" s="41" t="s">
        <v>588</v>
      </c>
      <c r="K25" s="41" t="s">
        <v>512</v>
      </c>
      <c r="L25" s="41" t="s">
        <v>491</v>
      </c>
      <c r="M25" s="42">
        <v>46154</v>
      </c>
      <c r="N25" s="42">
        <v>46155</v>
      </c>
      <c r="O25" s="41" t="s">
        <v>513</v>
      </c>
      <c r="P25" s="41" t="s">
        <v>563</v>
      </c>
      <c r="Q25" s="42">
        <v>45897</v>
      </c>
      <c r="R25" s="42">
        <v>45897</v>
      </c>
      <c r="S25" s="42">
        <v>46154</v>
      </c>
      <c r="T25" s="42">
        <v>46154</v>
      </c>
      <c r="U25" s="42">
        <v>46156</v>
      </c>
      <c r="V25" s="41" t="s">
        <v>494</v>
      </c>
      <c r="W25" s="41" t="s">
        <v>494</v>
      </c>
      <c r="X25" s="43">
        <v>156217.07999999999</v>
      </c>
      <c r="Y25" s="43">
        <v>156217.07999999999</v>
      </c>
    </row>
    <row r="26" spans="1:25" x14ac:dyDescent="0.25">
      <c r="A26" s="41" t="s">
        <v>445</v>
      </c>
      <c r="B26" s="41" t="s">
        <v>52</v>
      </c>
      <c r="C26" s="41" t="s">
        <v>100</v>
      </c>
      <c r="D26" s="41" t="s">
        <v>589</v>
      </c>
      <c r="E26" s="41" t="s">
        <v>232</v>
      </c>
      <c r="F26" s="41" t="s">
        <v>445</v>
      </c>
      <c r="G26" s="41" t="s">
        <v>233</v>
      </c>
      <c r="H26" s="41" t="s">
        <v>450</v>
      </c>
      <c r="I26" s="41" t="s">
        <v>590</v>
      </c>
      <c r="J26" s="41" t="s">
        <v>591</v>
      </c>
      <c r="K26" s="41" t="s">
        <v>432</v>
      </c>
      <c r="L26" s="41" t="s">
        <v>491</v>
      </c>
      <c r="M26" s="42">
        <v>46154</v>
      </c>
      <c r="N26" s="42">
        <v>46154</v>
      </c>
      <c r="O26" s="41" t="s">
        <v>527</v>
      </c>
      <c r="P26" s="41" t="s">
        <v>493</v>
      </c>
      <c r="Q26" s="42">
        <v>46145</v>
      </c>
      <c r="R26" s="42">
        <v>46126</v>
      </c>
      <c r="S26" s="42">
        <v>46154</v>
      </c>
      <c r="T26" s="42">
        <v>46154</v>
      </c>
      <c r="U26" s="42">
        <v>46154</v>
      </c>
      <c r="V26" s="41" t="s">
        <v>592</v>
      </c>
      <c r="W26" s="41" t="s">
        <v>593</v>
      </c>
      <c r="X26" s="43">
        <v>89.11</v>
      </c>
      <c r="Y26" s="43">
        <v>89.11</v>
      </c>
    </row>
    <row r="27" spans="1:25" x14ac:dyDescent="0.25">
      <c r="A27" s="41" t="s">
        <v>445</v>
      </c>
      <c r="B27" s="41" t="s">
        <v>52</v>
      </c>
      <c r="C27" s="41" t="s">
        <v>100</v>
      </c>
      <c r="D27" s="41" t="s">
        <v>594</v>
      </c>
      <c r="E27" s="41" t="s">
        <v>242</v>
      </c>
      <c r="F27" s="41" t="s">
        <v>445</v>
      </c>
      <c r="G27" s="41" t="s">
        <v>243</v>
      </c>
      <c r="H27" s="41" t="s">
        <v>450</v>
      </c>
      <c r="I27" s="41" t="s">
        <v>595</v>
      </c>
      <c r="J27" s="41" t="s">
        <v>596</v>
      </c>
      <c r="K27" s="41" t="s">
        <v>432</v>
      </c>
      <c r="L27" s="41" t="s">
        <v>491</v>
      </c>
      <c r="M27" s="42">
        <v>46154</v>
      </c>
      <c r="N27" s="42">
        <v>46154</v>
      </c>
      <c r="O27" s="41" t="s">
        <v>527</v>
      </c>
      <c r="P27" s="41" t="s">
        <v>493</v>
      </c>
      <c r="Q27" s="42">
        <v>46145</v>
      </c>
      <c r="R27" s="42">
        <v>46126</v>
      </c>
      <c r="S27" s="42">
        <v>46154</v>
      </c>
      <c r="T27" s="42">
        <v>46154</v>
      </c>
      <c r="U27" s="42">
        <v>46154</v>
      </c>
      <c r="V27" s="41" t="s">
        <v>533</v>
      </c>
      <c r="W27" s="41" t="s">
        <v>597</v>
      </c>
      <c r="X27" s="43">
        <v>267.35000000000002</v>
      </c>
      <c r="Y27" s="43">
        <v>267.35000000000002</v>
      </c>
    </row>
    <row r="28" spans="1:25" x14ac:dyDescent="0.25">
      <c r="A28" s="41" t="s">
        <v>443</v>
      </c>
      <c r="B28" s="41" t="s">
        <v>52</v>
      </c>
      <c r="C28" s="41" t="s">
        <v>124</v>
      </c>
      <c r="D28" s="41" t="s">
        <v>598</v>
      </c>
      <c r="E28" s="41" t="s">
        <v>362</v>
      </c>
      <c r="F28" s="41" t="s">
        <v>443</v>
      </c>
      <c r="G28" s="41" t="s">
        <v>137</v>
      </c>
      <c r="H28" s="41" t="s">
        <v>444</v>
      </c>
      <c r="I28" s="41" t="s">
        <v>599</v>
      </c>
      <c r="J28" s="41" t="s">
        <v>600</v>
      </c>
      <c r="K28" s="41" t="s">
        <v>432</v>
      </c>
      <c r="L28" s="41" t="s">
        <v>498</v>
      </c>
      <c r="M28" s="42">
        <v>46154</v>
      </c>
      <c r="N28" s="42">
        <v>46154</v>
      </c>
      <c r="O28" s="41" t="s">
        <v>543</v>
      </c>
      <c r="P28" s="41" t="s">
        <v>544</v>
      </c>
      <c r="Q28" s="42">
        <v>46139</v>
      </c>
      <c r="R28" s="42">
        <v>46128</v>
      </c>
      <c r="S28" s="42">
        <v>46154</v>
      </c>
      <c r="T28" s="42">
        <v>46154</v>
      </c>
      <c r="U28" s="42">
        <v>46154</v>
      </c>
      <c r="V28" s="41" t="s">
        <v>601</v>
      </c>
      <c r="W28" s="41" t="s">
        <v>602</v>
      </c>
      <c r="X28" s="43">
        <v>82.4</v>
      </c>
      <c r="Y28" s="43">
        <v>82.4</v>
      </c>
    </row>
    <row r="29" spans="1:25" x14ac:dyDescent="0.25">
      <c r="A29" s="41" t="s">
        <v>443</v>
      </c>
      <c r="B29" s="41" t="s">
        <v>52</v>
      </c>
      <c r="C29" s="41" t="s">
        <v>124</v>
      </c>
      <c r="D29" s="41" t="s">
        <v>603</v>
      </c>
      <c r="E29" s="41" t="s">
        <v>363</v>
      </c>
      <c r="F29" s="41" t="s">
        <v>443</v>
      </c>
      <c r="G29" s="41" t="s">
        <v>139</v>
      </c>
      <c r="H29" s="41" t="s">
        <v>444</v>
      </c>
      <c r="I29" s="41" t="s">
        <v>604</v>
      </c>
      <c r="J29" s="41" t="s">
        <v>605</v>
      </c>
      <c r="K29" s="41" t="s">
        <v>432</v>
      </c>
      <c r="L29" s="41" t="s">
        <v>498</v>
      </c>
      <c r="M29" s="42">
        <v>46154</v>
      </c>
      <c r="N29" s="42">
        <v>46154</v>
      </c>
      <c r="O29" s="41" t="s">
        <v>543</v>
      </c>
      <c r="P29" s="41" t="s">
        <v>544</v>
      </c>
      <c r="Q29" s="42">
        <v>46139</v>
      </c>
      <c r="R29" s="42">
        <v>46128</v>
      </c>
      <c r="S29" s="42">
        <v>46154</v>
      </c>
      <c r="T29" s="42">
        <v>46154</v>
      </c>
      <c r="U29" s="42">
        <v>46154</v>
      </c>
      <c r="V29" s="41" t="s">
        <v>606</v>
      </c>
      <c r="W29" s="41" t="s">
        <v>607</v>
      </c>
      <c r="X29" s="43">
        <v>82.4</v>
      </c>
      <c r="Y29" s="43">
        <v>82.4</v>
      </c>
    </row>
    <row r="30" spans="1:25" x14ac:dyDescent="0.25">
      <c r="A30" s="41" t="s">
        <v>445</v>
      </c>
      <c r="B30" s="41" t="s">
        <v>52</v>
      </c>
      <c r="C30" s="41" t="s">
        <v>100</v>
      </c>
      <c r="D30" s="41" t="s">
        <v>608</v>
      </c>
      <c r="E30" s="41" t="s">
        <v>247</v>
      </c>
      <c r="F30" s="41" t="s">
        <v>445</v>
      </c>
      <c r="G30" s="41" t="s">
        <v>248</v>
      </c>
      <c r="H30" s="41" t="s">
        <v>450</v>
      </c>
      <c r="I30" s="41" t="s">
        <v>609</v>
      </c>
      <c r="J30" s="41" t="s">
        <v>610</v>
      </c>
      <c r="K30" s="41" t="s">
        <v>503</v>
      </c>
      <c r="L30" s="41" t="s">
        <v>491</v>
      </c>
      <c r="M30" s="42">
        <v>46154</v>
      </c>
      <c r="N30" s="42">
        <v>46155</v>
      </c>
      <c r="O30" s="41" t="s">
        <v>611</v>
      </c>
      <c r="P30" s="41" t="s">
        <v>556</v>
      </c>
      <c r="Q30" s="42">
        <v>46145</v>
      </c>
      <c r="R30" s="42">
        <v>46132</v>
      </c>
      <c r="S30" s="42">
        <v>46154</v>
      </c>
      <c r="T30" s="42">
        <v>46154</v>
      </c>
      <c r="U30" s="41" t="s">
        <v>494</v>
      </c>
      <c r="V30" s="41" t="s">
        <v>612</v>
      </c>
      <c r="W30" s="41" t="s">
        <v>613</v>
      </c>
      <c r="X30" s="43">
        <v>0.13</v>
      </c>
      <c r="Y30" s="43">
        <v>0.19</v>
      </c>
    </row>
    <row r="31" spans="1:25" x14ac:dyDescent="0.25">
      <c r="A31" s="41" t="s">
        <v>445</v>
      </c>
      <c r="B31" s="41" t="s">
        <v>52</v>
      </c>
      <c r="C31" s="41" t="s">
        <v>100</v>
      </c>
      <c r="D31" s="41" t="s">
        <v>614</v>
      </c>
      <c r="E31" s="41" t="s">
        <v>256</v>
      </c>
      <c r="F31" s="41" t="s">
        <v>445</v>
      </c>
      <c r="G31" s="41" t="s">
        <v>257</v>
      </c>
      <c r="H31" s="41" t="s">
        <v>450</v>
      </c>
      <c r="I31" s="41" t="s">
        <v>615</v>
      </c>
      <c r="J31" s="41" t="s">
        <v>616</v>
      </c>
      <c r="K31" s="41" t="s">
        <v>432</v>
      </c>
      <c r="L31" s="41" t="s">
        <v>498</v>
      </c>
      <c r="M31" s="42">
        <v>46154</v>
      </c>
      <c r="N31" s="42">
        <v>46154</v>
      </c>
      <c r="O31" s="41" t="s">
        <v>611</v>
      </c>
      <c r="P31" s="41" t="s">
        <v>493</v>
      </c>
      <c r="Q31" s="42">
        <v>46145</v>
      </c>
      <c r="R31" s="42">
        <v>46132</v>
      </c>
      <c r="S31" s="42">
        <v>46154</v>
      </c>
      <c r="T31" s="42">
        <v>46154</v>
      </c>
      <c r="U31" s="42">
        <v>46154</v>
      </c>
      <c r="V31" s="41" t="s">
        <v>617</v>
      </c>
      <c r="W31" s="41" t="s">
        <v>618</v>
      </c>
      <c r="X31" s="43">
        <v>178.27</v>
      </c>
      <c r="Y31" s="43">
        <v>178.27</v>
      </c>
    </row>
    <row r="32" spans="1:25" x14ac:dyDescent="0.25">
      <c r="A32" s="41" t="s">
        <v>443</v>
      </c>
      <c r="B32" s="41" t="s">
        <v>52</v>
      </c>
      <c r="C32" s="41" t="s">
        <v>124</v>
      </c>
      <c r="D32" s="41" t="s">
        <v>619</v>
      </c>
      <c r="E32" s="41" t="s">
        <v>172</v>
      </c>
      <c r="F32" s="41" t="s">
        <v>443</v>
      </c>
      <c r="G32" s="41" t="s">
        <v>173</v>
      </c>
      <c r="H32" s="41" t="s">
        <v>444</v>
      </c>
      <c r="I32" s="41" t="s">
        <v>518</v>
      </c>
      <c r="J32" s="41" t="s">
        <v>519</v>
      </c>
      <c r="K32" s="41" t="s">
        <v>432</v>
      </c>
      <c r="L32" s="41" t="s">
        <v>498</v>
      </c>
      <c r="M32" s="42">
        <v>46154</v>
      </c>
      <c r="N32" s="42">
        <v>46155</v>
      </c>
      <c r="O32" s="41" t="s">
        <v>620</v>
      </c>
      <c r="P32" s="41" t="s">
        <v>521</v>
      </c>
      <c r="Q32" s="42">
        <v>46139</v>
      </c>
      <c r="R32" s="42">
        <v>46135</v>
      </c>
      <c r="S32" s="42">
        <v>46154</v>
      </c>
      <c r="T32" s="42">
        <v>46154</v>
      </c>
      <c r="U32" s="42">
        <v>46154</v>
      </c>
      <c r="V32" s="41" t="s">
        <v>621</v>
      </c>
      <c r="W32" s="41" t="s">
        <v>622</v>
      </c>
      <c r="X32" s="43">
        <v>1812.8</v>
      </c>
      <c r="Y32" s="43">
        <v>1812.8</v>
      </c>
    </row>
    <row r="33" spans="1:25" x14ac:dyDescent="0.25">
      <c r="A33" s="41" t="s">
        <v>445</v>
      </c>
      <c r="B33" s="41" t="s">
        <v>52</v>
      </c>
      <c r="C33" s="41" t="s">
        <v>100</v>
      </c>
      <c r="D33" s="41" t="s">
        <v>623</v>
      </c>
      <c r="E33" s="41" t="s">
        <v>259</v>
      </c>
      <c r="F33" s="41" t="s">
        <v>445</v>
      </c>
      <c r="G33" s="41" t="s">
        <v>260</v>
      </c>
      <c r="H33" s="41" t="s">
        <v>450</v>
      </c>
      <c r="I33" s="41" t="s">
        <v>624</v>
      </c>
      <c r="J33" s="41" t="s">
        <v>625</v>
      </c>
      <c r="K33" s="41" t="s">
        <v>432</v>
      </c>
      <c r="L33" s="41" t="s">
        <v>498</v>
      </c>
      <c r="M33" s="42">
        <v>46154</v>
      </c>
      <c r="N33" s="42">
        <v>46155</v>
      </c>
      <c r="O33" s="41" t="s">
        <v>626</v>
      </c>
      <c r="P33" s="41" t="s">
        <v>493</v>
      </c>
      <c r="Q33" s="42">
        <v>46145</v>
      </c>
      <c r="R33" s="42">
        <v>46139</v>
      </c>
      <c r="S33" s="42">
        <v>46154</v>
      </c>
      <c r="T33" s="42">
        <v>46155</v>
      </c>
      <c r="U33" s="42">
        <v>46156</v>
      </c>
      <c r="V33" s="41" t="s">
        <v>627</v>
      </c>
      <c r="W33" s="41" t="s">
        <v>628</v>
      </c>
      <c r="X33" s="43">
        <v>2422.5700000000002</v>
      </c>
      <c r="Y33" s="43">
        <v>2422.5700000000002</v>
      </c>
    </row>
    <row r="34" spans="1:25" x14ac:dyDescent="0.25">
      <c r="A34" s="41" t="s">
        <v>445</v>
      </c>
      <c r="B34" s="41" t="s">
        <v>104</v>
      </c>
      <c r="C34" s="41" t="s">
        <v>106</v>
      </c>
      <c r="D34" s="41" t="s">
        <v>629</v>
      </c>
      <c r="E34" s="41" t="s">
        <v>325</v>
      </c>
      <c r="F34" s="41" t="s">
        <v>445</v>
      </c>
      <c r="G34" s="41" t="s">
        <v>326</v>
      </c>
      <c r="H34" s="41" t="s">
        <v>450</v>
      </c>
      <c r="I34" s="41" t="s">
        <v>630</v>
      </c>
      <c r="J34" s="41" t="s">
        <v>631</v>
      </c>
      <c r="K34" s="41" t="s">
        <v>490</v>
      </c>
      <c r="L34" s="41" t="s">
        <v>491</v>
      </c>
      <c r="M34" s="42">
        <v>46154</v>
      </c>
      <c r="N34" s="42">
        <v>46154</v>
      </c>
      <c r="O34" s="41" t="s">
        <v>492</v>
      </c>
      <c r="P34" s="41" t="s">
        <v>493</v>
      </c>
      <c r="Q34" s="42">
        <v>46154</v>
      </c>
      <c r="R34" s="42">
        <v>46153</v>
      </c>
      <c r="S34" s="42">
        <v>46154</v>
      </c>
      <c r="T34" s="42">
        <v>46153</v>
      </c>
      <c r="U34" s="42">
        <v>46153</v>
      </c>
      <c r="V34" s="41" t="s">
        <v>494</v>
      </c>
      <c r="W34" s="41" t="s">
        <v>494</v>
      </c>
      <c r="X34" s="43">
        <v>0.02</v>
      </c>
      <c r="Y34" s="43">
        <v>0.02</v>
      </c>
    </row>
    <row r="35" spans="1:25" x14ac:dyDescent="0.25">
      <c r="A35" s="41" t="s">
        <v>445</v>
      </c>
      <c r="B35" s="41" t="s">
        <v>104</v>
      </c>
      <c r="C35" s="41" t="s">
        <v>106</v>
      </c>
      <c r="D35" s="41" t="s">
        <v>632</v>
      </c>
      <c r="E35" s="41" t="s">
        <v>331</v>
      </c>
      <c r="F35" s="41" t="s">
        <v>445</v>
      </c>
      <c r="G35" s="41" t="s">
        <v>332</v>
      </c>
      <c r="H35" s="41" t="s">
        <v>450</v>
      </c>
      <c r="I35" s="41" t="s">
        <v>633</v>
      </c>
      <c r="J35" s="41" t="s">
        <v>634</v>
      </c>
      <c r="K35" s="41" t="s">
        <v>490</v>
      </c>
      <c r="L35" s="41" t="s">
        <v>498</v>
      </c>
      <c r="M35" s="42">
        <v>46154</v>
      </c>
      <c r="N35" s="42">
        <v>46154</v>
      </c>
      <c r="O35" s="41" t="s">
        <v>635</v>
      </c>
      <c r="P35" s="41" t="s">
        <v>493</v>
      </c>
      <c r="Q35" s="42">
        <v>46154</v>
      </c>
      <c r="R35" s="42">
        <v>46154</v>
      </c>
      <c r="S35" s="42">
        <v>46154</v>
      </c>
      <c r="T35" s="42">
        <v>46154</v>
      </c>
      <c r="U35" s="42">
        <v>46155</v>
      </c>
      <c r="V35" s="41" t="s">
        <v>494</v>
      </c>
      <c r="W35" s="41" t="s">
        <v>494</v>
      </c>
      <c r="X35" s="43">
        <v>623.41999999999996</v>
      </c>
      <c r="Y35" s="43">
        <v>623.41999999999996</v>
      </c>
    </row>
    <row r="36" spans="1:25" x14ac:dyDescent="0.25">
      <c r="A36" s="41" t="s">
        <v>445</v>
      </c>
      <c r="B36" s="41" t="s">
        <v>104</v>
      </c>
      <c r="C36" s="41" t="s">
        <v>106</v>
      </c>
      <c r="D36" s="41" t="s">
        <v>636</v>
      </c>
      <c r="E36" s="41" t="s">
        <v>333</v>
      </c>
      <c r="F36" s="41" t="s">
        <v>445</v>
      </c>
      <c r="G36" s="41" t="s">
        <v>334</v>
      </c>
      <c r="H36" s="41" t="s">
        <v>450</v>
      </c>
      <c r="I36" s="41" t="s">
        <v>637</v>
      </c>
      <c r="J36" s="41" t="s">
        <v>638</v>
      </c>
      <c r="K36" s="41" t="s">
        <v>490</v>
      </c>
      <c r="L36" s="41" t="s">
        <v>491</v>
      </c>
      <c r="M36" s="42">
        <v>46154</v>
      </c>
      <c r="N36" s="42">
        <v>46154</v>
      </c>
      <c r="O36" s="41" t="s">
        <v>492</v>
      </c>
      <c r="P36" s="41" t="s">
        <v>493</v>
      </c>
      <c r="Q36" s="42">
        <v>46154</v>
      </c>
      <c r="R36" s="42">
        <v>46154</v>
      </c>
      <c r="S36" s="42">
        <v>46154</v>
      </c>
      <c r="T36" s="42">
        <v>46154</v>
      </c>
      <c r="U36" s="42">
        <v>46154</v>
      </c>
      <c r="V36" s="41" t="s">
        <v>494</v>
      </c>
      <c r="W36" s="41" t="s">
        <v>494</v>
      </c>
      <c r="X36" s="43">
        <v>0.02</v>
      </c>
      <c r="Y36" s="43">
        <v>0.02</v>
      </c>
    </row>
    <row r="37" spans="1:25" x14ac:dyDescent="0.25">
      <c r="A37" s="41" t="s">
        <v>445</v>
      </c>
      <c r="B37" s="41" t="s">
        <v>104</v>
      </c>
      <c r="C37" s="41" t="s">
        <v>106</v>
      </c>
      <c r="D37" s="41" t="s">
        <v>639</v>
      </c>
      <c r="E37" s="41" t="s">
        <v>335</v>
      </c>
      <c r="F37" s="41" t="s">
        <v>445</v>
      </c>
      <c r="G37" s="41" t="s">
        <v>336</v>
      </c>
      <c r="H37" s="41" t="s">
        <v>450</v>
      </c>
      <c r="I37" s="41" t="s">
        <v>590</v>
      </c>
      <c r="J37" s="41" t="s">
        <v>591</v>
      </c>
      <c r="K37" s="41" t="s">
        <v>490</v>
      </c>
      <c r="L37" s="41" t="s">
        <v>491</v>
      </c>
      <c r="M37" s="42">
        <v>46154</v>
      </c>
      <c r="N37" s="42">
        <v>46154</v>
      </c>
      <c r="O37" s="41" t="s">
        <v>492</v>
      </c>
      <c r="P37" s="41" t="s">
        <v>493</v>
      </c>
      <c r="Q37" s="42">
        <v>46154</v>
      </c>
      <c r="R37" s="42">
        <v>46154</v>
      </c>
      <c r="S37" s="42">
        <v>46154</v>
      </c>
      <c r="T37" s="42">
        <v>46154</v>
      </c>
      <c r="U37" s="42">
        <v>46154</v>
      </c>
      <c r="V37" s="41" t="s">
        <v>494</v>
      </c>
      <c r="W37" s="41" t="s">
        <v>494</v>
      </c>
      <c r="X37" s="43">
        <v>0.02</v>
      </c>
      <c r="Y37" s="43">
        <v>0.02</v>
      </c>
    </row>
    <row r="38" spans="1:25" x14ac:dyDescent="0.25">
      <c r="A38" s="41" t="s">
        <v>443</v>
      </c>
      <c r="B38" s="41" t="s">
        <v>104</v>
      </c>
      <c r="C38" s="41" t="s">
        <v>157</v>
      </c>
      <c r="D38" s="41" t="s">
        <v>640</v>
      </c>
      <c r="E38" s="41" t="s">
        <v>184</v>
      </c>
      <c r="F38" s="41" t="s">
        <v>443</v>
      </c>
      <c r="G38" s="41" t="s">
        <v>185</v>
      </c>
      <c r="H38" s="41" t="s">
        <v>444</v>
      </c>
      <c r="I38" s="41" t="s">
        <v>641</v>
      </c>
      <c r="J38" s="41" t="s">
        <v>642</v>
      </c>
      <c r="K38" s="41" t="s">
        <v>643</v>
      </c>
      <c r="L38" s="41" t="s">
        <v>498</v>
      </c>
      <c r="M38" s="42">
        <v>46154</v>
      </c>
      <c r="N38" s="42">
        <v>46154</v>
      </c>
      <c r="O38" s="41" t="s">
        <v>644</v>
      </c>
      <c r="P38" s="41" t="s">
        <v>521</v>
      </c>
      <c r="Q38" s="42">
        <v>46154</v>
      </c>
      <c r="R38" s="42">
        <v>46154</v>
      </c>
      <c r="S38" s="42">
        <v>46154</v>
      </c>
      <c r="T38" s="42">
        <v>46154</v>
      </c>
      <c r="U38" s="42">
        <v>46154</v>
      </c>
      <c r="V38" s="41" t="s">
        <v>494</v>
      </c>
      <c r="W38" s="41" t="s">
        <v>494</v>
      </c>
      <c r="X38" s="43">
        <v>164.8</v>
      </c>
      <c r="Y38" s="43">
        <v>164.8</v>
      </c>
    </row>
    <row r="39" spans="1:25" x14ac:dyDescent="0.25">
      <c r="A39" s="41" t="s">
        <v>443</v>
      </c>
      <c r="B39" s="41" t="s">
        <v>52</v>
      </c>
      <c r="C39" s="41" t="s">
        <v>100</v>
      </c>
      <c r="D39" s="41" t="s">
        <v>645</v>
      </c>
      <c r="E39" s="41" t="s">
        <v>162</v>
      </c>
      <c r="F39" s="41" t="s">
        <v>443</v>
      </c>
      <c r="G39" s="41" t="s">
        <v>163</v>
      </c>
      <c r="H39" s="41" t="s">
        <v>444</v>
      </c>
      <c r="I39" s="41" t="s">
        <v>646</v>
      </c>
      <c r="J39" s="41" t="s">
        <v>647</v>
      </c>
      <c r="K39" s="41" t="s">
        <v>432</v>
      </c>
      <c r="L39" s="41" t="s">
        <v>498</v>
      </c>
      <c r="M39" s="42">
        <v>46155</v>
      </c>
      <c r="N39" s="42">
        <v>46157</v>
      </c>
      <c r="O39" s="41" t="s">
        <v>648</v>
      </c>
      <c r="P39" s="41" t="s">
        <v>544</v>
      </c>
      <c r="Q39" s="42">
        <v>46147</v>
      </c>
      <c r="R39" s="42">
        <v>45713</v>
      </c>
      <c r="S39" s="42">
        <v>46155</v>
      </c>
      <c r="T39" s="42">
        <v>46155</v>
      </c>
      <c r="U39" s="42">
        <v>46159</v>
      </c>
      <c r="V39" s="41" t="s">
        <v>649</v>
      </c>
      <c r="W39" s="41" t="s">
        <v>650</v>
      </c>
      <c r="X39" s="43">
        <v>0.64</v>
      </c>
      <c r="Y39" s="43">
        <v>0.64</v>
      </c>
    </row>
    <row r="40" spans="1:25" x14ac:dyDescent="0.25">
      <c r="A40" s="41" t="s">
        <v>445</v>
      </c>
      <c r="B40" s="41" t="s">
        <v>52</v>
      </c>
      <c r="C40" s="41" t="s">
        <v>54</v>
      </c>
      <c r="D40" s="41" t="s">
        <v>651</v>
      </c>
      <c r="E40" s="41" t="s">
        <v>280</v>
      </c>
      <c r="F40" s="41" t="s">
        <v>445</v>
      </c>
      <c r="G40" s="41" t="s">
        <v>281</v>
      </c>
      <c r="H40" s="41" t="s">
        <v>450</v>
      </c>
      <c r="I40" s="41" t="s">
        <v>652</v>
      </c>
      <c r="J40" s="41" t="s">
        <v>653</v>
      </c>
      <c r="K40" s="41" t="s">
        <v>512</v>
      </c>
      <c r="L40" s="41" t="s">
        <v>498</v>
      </c>
      <c r="M40" s="42">
        <v>46155</v>
      </c>
      <c r="N40" s="42">
        <v>46155</v>
      </c>
      <c r="O40" s="41" t="s">
        <v>513</v>
      </c>
      <c r="P40" s="41" t="s">
        <v>492</v>
      </c>
      <c r="Q40" s="42">
        <v>45743</v>
      </c>
      <c r="R40" s="42">
        <v>45741</v>
      </c>
      <c r="S40" s="42">
        <v>46155</v>
      </c>
      <c r="T40" s="42">
        <v>46155</v>
      </c>
      <c r="U40" s="42">
        <v>46159</v>
      </c>
      <c r="V40" s="41" t="s">
        <v>494</v>
      </c>
      <c r="W40" s="41" t="s">
        <v>494</v>
      </c>
      <c r="X40" s="43">
        <v>850.64</v>
      </c>
      <c r="Y40" s="43">
        <v>928.57</v>
      </c>
    </row>
    <row r="41" spans="1:25" x14ac:dyDescent="0.25">
      <c r="A41" s="41" t="s">
        <v>445</v>
      </c>
      <c r="B41" s="41" t="s">
        <v>52</v>
      </c>
      <c r="C41" s="41" t="s">
        <v>54</v>
      </c>
      <c r="D41" s="41" t="s">
        <v>654</v>
      </c>
      <c r="E41" s="41" t="s">
        <v>282</v>
      </c>
      <c r="F41" s="41" t="s">
        <v>445</v>
      </c>
      <c r="G41" s="41" t="s">
        <v>283</v>
      </c>
      <c r="H41" s="41" t="s">
        <v>450</v>
      </c>
      <c r="I41" s="41" t="s">
        <v>515</v>
      </c>
      <c r="J41" s="41" t="s">
        <v>516</v>
      </c>
      <c r="K41" s="41" t="s">
        <v>512</v>
      </c>
      <c r="L41" s="41" t="s">
        <v>498</v>
      </c>
      <c r="M41" s="42">
        <v>46155</v>
      </c>
      <c r="N41" s="42">
        <v>46155</v>
      </c>
      <c r="O41" s="41" t="s">
        <v>513</v>
      </c>
      <c r="P41" s="41" t="s">
        <v>492</v>
      </c>
      <c r="Q41" s="42">
        <v>45819</v>
      </c>
      <c r="R41" s="42">
        <v>45818</v>
      </c>
      <c r="S41" s="42">
        <v>46155</v>
      </c>
      <c r="T41" s="42">
        <v>46153</v>
      </c>
      <c r="U41" s="42">
        <v>46159</v>
      </c>
      <c r="V41" s="41" t="s">
        <v>494</v>
      </c>
      <c r="W41" s="41" t="s">
        <v>494</v>
      </c>
      <c r="X41" s="43">
        <v>33443.919999999998</v>
      </c>
      <c r="Y41" s="43">
        <v>33443.75</v>
      </c>
    </row>
    <row r="42" spans="1:25" x14ac:dyDescent="0.25">
      <c r="A42" s="41" t="s">
        <v>443</v>
      </c>
      <c r="B42" s="41" t="s">
        <v>52</v>
      </c>
      <c r="C42" s="41" t="s">
        <v>100</v>
      </c>
      <c r="D42" s="41" t="s">
        <v>655</v>
      </c>
      <c r="E42" s="41" t="s">
        <v>386</v>
      </c>
      <c r="F42" s="41" t="s">
        <v>443</v>
      </c>
      <c r="G42" s="41" t="s">
        <v>387</v>
      </c>
      <c r="H42" s="41" t="s">
        <v>444</v>
      </c>
      <c r="I42" s="41" t="s">
        <v>656</v>
      </c>
      <c r="J42" s="41" t="s">
        <v>657</v>
      </c>
      <c r="K42" s="41" t="s">
        <v>432</v>
      </c>
      <c r="L42" s="41" t="s">
        <v>498</v>
      </c>
      <c r="M42" s="42">
        <v>46155</v>
      </c>
      <c r="N42" s="42">
        <v>46155</v>
      </c>
      <c r="O42" s="41" t="s">
        <v>658</v>
      </c>
      <c r="P42" s="41" t="s">
        <v>659</v>
      </c>
      <c r="Q42" s="42">
        <v>46147</v>
      </c>
      <c r="R42" s="42">
        <v>46065</v>
      </c>
      <c r="S42" s="42">
        <v>46155</v>
      </c>
      <c r="T42" s="42">
        <v>46155</v>
      </c>
      <c r="U42" s="42">
        <v>46155</v>
      </c>
      <c r="V42" s="41" t="s">
        <v>660</v>
      </c>
      <c r="W42" s="41" t="s">
        <v>661</v>
      </c>
      <c r="X42" s="43">
        <v>0.06</v>
      </c>
      <c r="Y42" s="43">
        <v>0.06</v>
      </c>
    </row>
    <row r="43" spans="1:25" x14ac:dyDescent="0.25">
      <c r="A43" s="41" t="s">
        <v>443</v>
      </c>
      <c r="B43" s="41" t="s">
        <v>52</v>
      </c>
      <c r="C43" s="41" t="s">
        <v>100</v>
      </c>
      <c r="D43" s="41" t="s">
        <v>662</v>
      </c>
      <c r="E43" s="41" t="s">
        <v>388</v>
      </c>
      <c r="F43" s="41" t="s">
        <v>443</v>
      </c>
      <c r="G43" s="41" t="s">
        <v>389</v>
      </c>
      <c r="H43" s="41" t="s">
        <v>444</v>
      </c>
      <c r="I43" s="41" t="s">
        <v>663</v>
      </c>
      <c r="J43" s="41" t="s">
        <v>664</v>
      </c>
      <c r="K43" s="41" t="s">
        <v>432</v>
      </c>
      <c r="L43" s="41" t="s">
        <v>498</v>
      </c>
      <c r="M43" s="42">
        <v>46155</v>
      </c>
      <c r="N43" s="42">
        <v>46155</v>
      </c>
      <c r="O43" s="41" t="s">
        <v>658</v>
      </c>
      <c r="P43" s="41" t="s">
        <v>659</v>
      </c>
      <c r="Q43" s="42">
        <v>46147</v>
      </c>
      <c r="R43" s="42">
        <v>46065</v>
      </c>
      <c r="S43" s="42">
        <v>46155</v>
      </c>
      <c r="T43" s="42">
        <v>46155</v>
      </c>
      <c r="U43" s="42">
        <v>46155</v>
      </c>
      <c r="V43" s="41" t="s">
        <v>660</v>
      </c>
      <c r="W43" s="41" t="s">
        <v>665</v>
      </c>
      <c r="X43" s="43">
        <v>0.06</v>
      </c>
      <c r="Y43" s="43">
        <v>0.06</v>
      </c>
    </row>
    <row r="44" spans="1:25" x14ac:dyDescent="0.25">
      <c r="A44" s="41" t="s">
        <v>443</v>
      </c>
      <c r="B44" s="41" t="s">
        <v>52</v>
      </c>
      <c r="C44" s="41" t="s">
        <v>100</v>
      </c>
      <c r="D44" s="41" t="s">
        <v>666</v>
      </c>
      <c r="E44" s="41" t="s">
        <v>390</v>
      </c>
      <c r="F44" s="41" t="s">
        <v>443</v>
      </c>
      <c r="G44" s="41" t="s">
        <v>391</v>
      </c>
      <c r="H44" s="41" t="s">
        <v>444</v>
      </c>
      <c r="I44" s="41" t="s">
        <v>667</v>
      </c>
      <c r="J44" s="41" t="s">
        <v>391</v>
      </c>
      <c r="K44" s="41" t="s">
        <v>432</v>
      </c>
      <c r="L44" s="41" t="s">
        <v>498</v>
      </c>
      <c r="M44" s="42">
        <v>46155</v>
      </c>
      <c r="N44" s="42">
        <v>46155</v>
      </c>
      <c r="O44" s="41" t="s">
        <v>658</v>
      </c>
      <c r="P44" s="41" t="s">
        <v>659</v>
      </c>
      <c r="Q44" s="42">
        <v>46147</v>
      </c>
      <c r="R44" s="42">
        <v>46065</v>
      </c>
      <c r="S44" s="42">
        <v>46155</v>
      </c>
      <c r="T44" s="42">
        <v>46155</v>
      </c>
      <c r="U44" s="42">
        <v>46155</v>
      </c>
      <c r="V44" s="41" t="s">
        <v>660</v>
      </c>
      <c r="W44" s="41" t="s">
        <v>668</v>
      </c>
      <c r="X44" s="43">
        <v>0.06</v>
      </c>
      <c r="Y44" s="43">
        <v>0.06</v>
      </c>
    </row>
    <row r="45" spans="1:25" x14ac:dyDescent="0.25">
      <c r="A45" s="41" t="s">
        <v>445</v>
      </c>
      <c r="B45" s="41" t="s">
        <v>52</v>
      </c>
      <c r="C45" s="41" t="s">
        <v>100</v>
      </c>
      <c r="D45" s="41" t="s">
        <v>669</v>
      </c>
      <c r="E45" s="41" t="s">
        <v>214</v>
      </c>
      <c r="F45" s="41" t="s">
        <v>445</v>
      </c>
      <c r="G45" s="41" t="s">
        <v>215</v>
      </c>
      <c r="H45" s="41" t="s">
        <v>450</v>
      </c>
      <c r="I45" s="41" t="s">
        <v>670</v>
      </c>
      <c r="J45" s="41" t="s">
        <v>671</v>
      </c>
      <c r="K45" s="41" t="s">
        <v>432</v>
      </c>
      <c r="L45" s="41" t="s">
        <v>498</v>
      </c>
      <c r="M45" s="42">
        <v>46155</v>
      </c>
      <c r="N45" s="42">
        <v>46156</v>
      </c>
      <c r="O45" s="41" t="s">
        <v>672</v>
      </c>
      <c r="P45" s="41" t="s">
        <v>493</v>
      </c>
      <c r="Q45" s="42">
        <v>46145</v>
      </c>
      <c r="R45" s="42">
        <v>46078</v>
      </c>
      <c r="S45" s="42">
        <v>46155</v>
      </c>
      <c r="T45" s="42">
        <v>46155</v>
      </c>
      <c r="U45" s="42">
        <v>46159</v>
      </c>
      <c r="V45" s="41" t="s">
        <v>673</v>
      </c>
      <c r="W45" s="41" t="s">
        <v>674</v>
      </c>
      <c r="X45" s="43">
        <v>1309.18</v>
      </c>
      <c r="Y45" s="43">
        <v>1531.84</v>
      </c>
    </row>
    <row r="46" spans="1:25" x14ac:dyDescent="0.25">
      <c r="A46" s="41" t="s">
        <v>445</v>
      </c>
      <c r="B46" s="41" t="s">
        <v>52</v>
      </c>
      <c r="C46" s="41" t="s">
        <v>100</v>
      </c>
      <c r="D46" s="41" t="s">
        <v>675</v>
      </c>
      <c r="E46" s="41" t="s">
        <v>234</v>
      </c>
      <c r="F46" s="41" t="s">
        <v>445</v>
      </c>
      <c r="G46" s="41" t="s">
        <v>235</v>
      </c>
      <c r="H46" s="41" t="s">
        <v>450</v>
      </c>
      <c r="I46" s="41" t="s">
        <v>676</v>
      </c>
      <c r="J46" s="41" t="s">
        <v>677</v>
      </c>
      <c r="K46" s="41" t="s">
        <v>432</v>
      </c>
      <c r="L46" s="41" t="s">
        <v>491</v>
      </c>
      <c r="M46" s="42">
        <v>46155</v>
      </c>
      <c r="N46" s="42">
        <v>46155</v>
      </c>
      <c r="O46" s="41" t="s">
        <v>527</v>
      </c>
      <c r="P46" s="41" t="s">
        <v>493</v>
      </c>
      <c r="Q46" s="42">
        <v>46145</v>
      </c>
      <c r="R46" s="42">
        <v>46126</v>
      </c>
      <c r="S46" s="42">
        <v>46155</v>
      </c>
      <c r="T46" s="42">
        <v>46155</v>
      </c>
      <c r="U46" s="42">
        <v>46155</v>
      </c>
      <c r="V46" s="41" t="s">
        <v>678</v>
      </c>
      <c r="W46" s="41" t="s">
        <v>679</v>
      </c>
      <c r="X46" s="43">
        <v>89.2</v>
      </c>
      <c r="Y46" s="43">
        <v>89.2</v>
      </c>
    </row>
    <row r="47" spans="1:25" x14ac:dyDescent="0.25">
      <c r="A47" s="41" t="s">
        <v>445</v>
      </c>
      <c r="B47" s="41" t="s">
        <v>52</v>
      </c>
      <c r="C47" s="41" t="s">
        <v>100</v>
      </c>
      <c r="D47" s="41" t="s">
        <v>680</v>
      </c>
      <c r="E47" s="41" t="s">
        <v>352</v>
      </c>
      <c r="F47" s="41" t="s">
        <v>445</v>
      </c>
      <c r="G47" s="41" t="s">
        <v>353</v>
      </c>
      <c r="H47" s="41" t="s">
        <v>450</v>
      </c>
      <c r="I47" s="41" t="s">
        <v>681</v>
      </c>
      <c r="J47" s="41" t="s">
        <v>682</v>
      </c>
      <c r="K47" s="41" t="s">
        <v>683</v>
      </c>
      <c r="L47" s="41" t="s">
        <v>498</v>
      </c>
      <c r="M47" s="42">
        <v>46155</v>
      </c>
      <c r="N47" s="42">
        <v>46155</v>
      </c>
      <c r="O47" s="41" t="s">
        <v>684</v>
      </c>
      <c r="P47" s="41" t="s">
        <v>504</v>
      </c>
      <c r="Q47" s="42">
        <v>46147</v>
      </c>
      <c r="R47" s="42">
        <v>46127</v>
      </c>
      <c r="S47" s="42">
        <v>46155</v>
      </c>
      <c r="T47" s="42">
        <v>46155</v>
      </c>
      <c r="U47" s="42">
        <v>46155</v>
      </c>
      <c r="V47" s="41" t="s">
        <v>685</v>
      </c>
      <c r="W47" s="41" t="s">
        <v>686</v>
      </c>
      <c r="X47" s="43">
        <v>0.28999999999999998</v>
      </c>
      <c r="Y47" s="43">
        <v>0.18</v>
      </c>
    </row>
    <row r="48" spans="1:25" x14ac:dyDescent="0.25">
      <c r="A48" s="41" t="s">
        <v>445</v>
      </c>
      <c r="B48" s="41" t="s">
        <v>52</v>
      </c>
      <c r="C48" s="41" t="s">
        <v>100</v>
      </c>
      <c r="D48" s="41" t="s">
        <v>687</v>
      </c>
      <c r="E48" s="41" t="s">
        <v>251</v>
      </c>
      <c r="F48" s="41" t="s">
        <v>445</v>
      </c>
      <c r="G48" s="41" t="s">
        <v>252</v>
      </c>
      <c r="H48" s="41" t="s">
        <v>450</v>
      </c>
      <c r="I48" s="41" t="s">
        <v>688</v>
      </c>
      <c r="J48" s="41" t="s">
        <v>689</v>
      </c>
      <c r="K48" s="41" t="s">
        <v>432</v>
      </c>
      <c r="L48" s="41" t="s">
        <v>491</v>
      </c>
      <c r="M48" s="42">
        <v>46155</v>
      </c>
      <c r="N48" s="42">
        <v>46155</v>
      </c>
      <c r="O48" s="41" t="s">
        <v>611</v>
      </c>
      <c r="P48" s="41" t="s">
        <v>493</v>
      </c>
      <c r="Q48" s="42">
        <v>46145</v>
      </c>
      <c r="R48" s="42">
        <v>46132</v>
      </c>
      <c r="S48" s="42">
        <v>46155</v>
      </c>
      <c r="T48" s="42">
        <v>46155</v>
      </c>
      <c r="U48" s="42">
        <v>46155</v>
      </c>
      <c r="V48" s="41" t="s">
        <v>690</v>
      </c>
      <c r="W48" s="41" t="s">
        <v>691</v>
      </c>
      <c r="X48" s="43">
        <v>267.35000000000002</v>
      </c>
      <c r="Y48" s="43">
        <v>267.35000000000002</v>
      </c>
    </row>
    <row r="49" spans="1:25" x14ac:dyDescent="0.25">
      <c r="A49" s="41" t="s">
        <v>445</v>
      </c>
      <c r="B49" s="41" t="s">
        <v>52</v>
      </c>
      <c r="C49" s="41" t="s">
        <v>100</v>
      </c>
      <c r="D49" s="41" t="s">
        <v>692</v>
      </c>
      <c r="E49" s="41" t="s">
        <v>254</v>
      </c>
      <c r="F49" s="41" t="s">
        <v>445</v>
      </c>
      <c r="G49" s="41" t="s">
        <v>255</v>
      </c>
      <c r="H49" s="41" t="s">
        <v>450</v>
      </c>
      <c r="I49" s="41" t="s">
        <v>693</v>
      </c>
      <c r="J49" s="41" t="s">
        <v>694</v>
      </c>
      <c r="K49" s="41" t="s">
        <v>432</v>
      </c>
      <c r="L49" s="41" t="s">
        <v>491</v>
      </c>
      <c r="M49" s="42">
        <v>46155</v>
      </c>
      <c r="N49" s="42">
        <v>46155</v>
      </c>
      <c r="O49" s="41" t="s">
        <v>611</v>
      </c>
      <c r="P49" s="41" t="s">
        <v>493</v>
      </c>
      <c r="Q49" s="42">
        <v>46145</v>
      </c>
      <c r="R49" s="42">
        <v>46132</v>
      </c>
      <c r="S49" s="42">
        <v>46155</v>
      </c>
      <c r="T49" s="42">
        <v>46155</v>
      </c>
      <c r="U49" s="42">
        <v>46155</v>
      </c>
      <c r="V49" s="41" t="s">
        <v>695</v>
      </c>
      <c r="W49" s="41" t="s">
        <v>696</v>
      </c>
      <c r="X49" s="43">
        <v>267.35000000000002</v>
      </c>
      <c r="Y49" s="43">
        <v>267.35000000000002</v>
      </c>
    </row>
    <row r="50" spans="1:25" x14ac:dyDescent="0.25">
      <c r="A50" s="41" t="s">
        <v>445</v>
      </c>
      <c r="B50" s="41" t="s">
        <v>52</v>
      </c>
      <c r="C50" s="41" t="s">
        <v>100</v>
      </c>
      <c r="D50" s="41" t="s">
        <v>697</v>
      </c>
      <c r="E50" s="41" t="s">
        <v>262</v>
      </c>
      <c r="F50" s="41" t="s">
        <v>445</v>
      </c>
      <c r="G50" s="41" t="s">
        <v>263</v>
      </c>
      <c r="H50" s="41" t="s">
        <v>450</v>
      </c>
      <c r="I50" s="41" t="s">
        <v>698</v>
      </c>
      <c r="J50" s="41" t="s">
        <v>699</v>
      </c>
      <c r="K50" s="41" t="s">
        <v>432</v>
      </c>
      <c r="L50" s="41" t="s">
        <v>491</v>
      </c>
      <c r="M50" s="42">
        <v>46155</v>
      </c>
      <c r="N50" s="42">
        <v>46155</v>
      </c>
      <c r="O50" s="41" t="s">
        <v>626</v>
      </c>
      <c r="P50" s="41" t="s">
        <v>493</v>
      </c>
      <c r="Q50" s="42">
        <v>46145</v>
      </c>
      <c r="R50" s="42">
        <v>46139</v>
      </c>
      <c r="S50" s="42">
        <v>46155</v>
      </c>
      <c r="T50" s="42">
        <v>46155</v>
      </c>
      <c r="U50" s="42">
        <v>46155</v>
      </c>
      <c r="V50" s="41" t="s">
        <v>700</v>
      </c>
      <c r="W50" s="41" t="s">
        <v>701</v>
      </c>
      <c r="X50" s="43">
        <v>0.14000000000000001</v>
      </c>
      <c r="Y50" s="43">
        <v>0.14000000000000001</v>
      </c>
    </row>
    <row r="51" spans="1:25" x14ac:dyDescent="0.25">
      <c r="A51" s="41" t="s">
        <v>445</v>
      </c>
      <c r="B51" s="41" t="s">
        <v>52</v>
      </c>
      <c r="C51" s="41" t="s">
        <v>54</v>
      </c>
      <c r="D51" s="41" t="s">
        <v>702</v>
      </c>
      <c r="E51" s="41" t="s">
        <v>302</v>
      </c>
      <c r="F51" s="41" t="s">
        <v>445</v>
      </c>
      <c r="G51" s="41" t="s">
        <v>303</v>
      </c>
      <c r="H51" s="41" t="s">
        <v>450</v>
      </c>
      <c r="I51" s="41" t="s">
        <v>703</v>
      </c>
      <c r="J51" s="41" t="s">
        <v>704</v>
      </c>
      <c r="K51" s="41" t="s">
        <v>432</v>
      </c>
      <c r="L51" s="41" t="s">
        <v>498</v>
      </c>
      <c r="M51" s="42">
        <v>46155</v>
      </c>
      <c r="N51" s="42">
        <v>46157</v>
      </c>
      <c r="O51" s="41" t="s">
        <v>504</v>
      </c>
      <c r="P51" s="41" t="s">
        <v>493</v>
      </c>
      <c r="Q51" s="42">
        <v>46145</v>
      </c>
      <c r="R51" s="42">
        <v>46140</v>
      </c>
      <c r="S51" s="42">
        <v>46155</v>
      </c>
      <c r="T51" s="42">
        <v>46153</v>
      </c>
      <c r="U51" s="42">
        <v>46156</v>
      </c>
      <c r="V51" s="41" t="s">
        <v>494</v>
      </c>
      <c r="W51" s="41" t="s">
        <v>494</v>
      </c>
      <c r="X51" s="43">
        <v>178.56</v>
      </c>
      <c r="Y51" s="43">
        <v>178.56</v>
      </c>
    </row>
    <row r="52" spans="1:25" x14ac:dyDescent="0.25">
      <c r="A52" s="41" t="s">
        <v>445</v>
      </c>
      <c r="B52" s="41" t="s">
        <v>104</v>
      </c>
      <c r="C52" s="41" t="s">
        <v>106</v>
      </c>
      <c r="D52" s="41" t="s">
        <v>705</v>
      </c>
      <c r="E52" s="41" t="s">
        <v>337</v>
      </c>
      <c r="F52" s="41" t="s">
        <v>445</v>
      </c>
      <c r="G52" s="41" t="s">
        <v>338</v>
      </c>
      <c r="H52" s="41" t="s">
        <v>450</v>
      </c>
      <c r="I52" s="41" t="s">
        <v>706</v>
      </c>
      <c r="J52" s="41" t="s">
        <v>707</v>
      </c>
      <c r="K52" s="41" t="s">
        <v>490</v>
      </c>
      <c r="L52" s="41" t="s">
        <v>498</v>
      </c>
      <c r="M52" s="42">
        <v>46155</v>
      </c>
      <c r="N52" s="42">
        <v>46155</v>
      </c>
      <c r="O52" s="41" t="s">
        <v>708</v>
      </c>
      <c r="P52" s="41" t="s">
        <v>493</v>
      </c>
      <c r="Q52" s="42">
        <v>46154</v>
      </c>
      <c r="R52" s="42">
        <v>46154</v>
      </c>
      <c r="S52" s="42">
        <v>46155</v>
      </c>
      <c r="T52" s="42">
        <v>46154</v>
      </c>
      <c r="U52" s="42">
        <v>46154</v>
      </c>
      <c r="V52" s="41" t="s">
        <v>494</v>
      </c>
      <c r="W52" s="41" t="s">
        <v>494</v>
      </c>
      <c r="X52" s="43">
        <v>89.06</v>
      </c>
      <c r="Y52" s="43">
        <v>89.06</v>
      </c>
    </row>
    <row r="53" spans="1:25" x14ac:dyDescent="0.25">
      <c r="A53" s="41" t="s">
        <v>445</v>
      </c>
      <c r="B53" s="41" t="s">
        <v>104</v>
      </c>
      <c r="C53" s="41" t="s">
        <v>106</v>
      </c>
      <c r="D53" s="41" t="s">
        <v>709</v>
      </c>
      <c r="E53" s="41" t="s">
        <v>339</v>
      </c>
      <c r="F53" s="41" t="s">
        <v>445</v>
      </c>
      <c r="G53" s="41" t="s">
        <v>340</v>
      </c>
      <c r="H53" s="41" t="s">
        <v>450</v>
      </c>
      <c r="I53" s="41" t="s">
        <v>710</v>
      </c>
      <c r="J53" s="41" t="s">
        <v>711</v>
      </c>
      <c r="K53" s="41" t="s">
        <v>490</v>
      </c>
      <c r="L53" s="41" t="s">
        <v>498</v>
      </c>
      <c r="M53" s="42">
        <v>46155</v>
      </c>
      <c r="N53" s="42">
        <v>46155</v>
      </c>
      <c r="O53" s="41" t="s">
        <v>492</v>
      </c>
      <c r="P53" s="41" t="s">
        <v>493</v>
      </c>
      <c r="Q53" s="42">
        <v>46155</v>
      </c>
      <c r="R53" s="42">
        <v>46154</v>
      </c>
      <c r="S53" s="42">
        <v>46155</v>
      </c>
      <c r="T53" s="42">
        <v>46154</v>
      </c>
      <c r="U53" s="42">
        <v>46154</v>
      </c>
      <c r="V53" s="41" t="s">
        <v>494</v>
      </c>
      <c r="W53" s="41" t="s">
        <v>494</v>
      </c>
      <c r="X53" s="43">
        <v>89.08</v>
      </c>
      <c r="Y53" s="43">
        <v>89.08</v>
      </c>
    </row>
    <row r="54" spans="1:25" x14ac:dyDescent="0.25">
      <c r="A54" s="41" t="s">
        <v>445</v>
      </c>
      <c r="B54" s="41" t="s">
        <v>52</v>
      </c>
      <c r="C54" s="41" t="s">
        <v>54</v>
      </c>
      <c r="D54" s="41" t="s">
        <v>712</v>
      </c>
      <c r="E54" s="41" t="s">
        <v>284</v>
      </c>
      <c r="F54" s="41" t="s">
        <v>445</v>
      </c>
      <c r="G54" s="41" t="s">
        <v>285</v>
      </c>
      <c r="H54" s="41" t="s">
        <v>450</v>
      </c>
      <c r="I54" s="41" t="s">
        <v>713</v>
      </c>
      <c r="J54" s="41" t="s">
        <v>714</v>
      </c>
      <c r="K54" s="41" t="s">
        <v>512</v>
      </c>
      <c r="L54" s="41" t="s">
        <v>498</v>
      </c>
      <c r="M54" s="42">
        <v>46156</v>
      </c>
      <c r="N54" s="42">
        <v>46156</v>
      </c>
      <c r="O54" s="41" t="s">
        <v>513</v>
      </c>
      <c r="P54" s="41" t="s">
        <v>492</v>
      </c>
      <c r="Q54" s="42">
        <v>45838</v>
      </c>
      <c r="R54" s="42">
        <v>45838</v>
      </c>
      <c r="S54" s="42">
        <v>46156</v>
      </c>
      <c r="T54" s="42">
        <v>46154</v>
      </c>
      <c r="U54" s="42">
        <v>46159</v>
      </c>
      <c r="V54" s="41" t="s">
        <v>494</v>
      </c>
      <c r="W54" s="41" t="s">
        <v>494</v>
      </c>
      <c r="X54" s="43">
        <v>8779.5499999999993</v>
      </c>
      <c r="Y54" s="43">
        <v>11527.53</v>
      </c>
    </row>
    <row r="55" spans="1:25" x14ac:dyDescent="0.25">
      <c r="A55" s="41" t="s">
        <v>443</v>
      </c>
      <c r="B55" s="41" t="s">
        <v>52</v>
      </c>
      <c r="C55" s="41" t="s">
        <v>100</v>
      </c>
      <c r="D55" s="41" t="s">
        <v>715</v>
      </c>
      <c r="E55" s="41" t="s">
        <v>392</v>
      </c>
      <c r="F55" s="41" t="s">
        <v>443</v>
      </c>
      <c r="G55" s="41" t="s">
        <v>393</v>
      </c>
      <c r="H55" s="41" t="s">
        <v>444</v>
      </c>
      <c r="I55" s="41" t="s">
        <v>716</v>
      </c>
      <c r="J55" s="41" t="s">
        <v>393</v>
      </c>
      <c r="K55" s="41" t="s">
        <v>432</v>
      </c>
      <c r="L55" s="41" t="s">
        <v>498</v>
      </c>
      <c r="M55" s="42">
        <v>46156</v>
      </c>
      <c r="N55" s="42">
        <v>46156</v>
      </c>
      <c r="O55" s="41" t="s">
        <v>658</v>
      </c>
      <c r="P55" s="41" t="s">
        <v>659</v>
      </c>
      <c r="Q55" s="42">
        <v>46147</v>
      </c>
      <c r="R55" s="42">
        <v>46065</v>
      </c>
      <c r="S55" s="42">
        <v>46156</v>
      </c>
      <c r="T55" s="42">
        <v>46156</v>
      </c>
      <c r="U55" s="42">
        <v>46156</v>
      </c>
      <c r="V55" s="41" t="s">
        <v>660</v>
      </c>
      <c r="W55" s="41" t="s">
        <v>717</v>
      </c>
      <c r="X55" s="43">
        <v>0.06</v>
      </c>
      <c r="Y55" s="43">
        <v>0.06</v>
      </c>
    </row>
    <row r="56" spans="1:25" x14ac:dyDescent="0.25">
      <c r="A56" s="41" t="s">
        <v>445</v>
      </c>
      <c r="B56" s="41" t="s">
        <v>52</v>
      </c>
      <c r="C56" s="41" t="s">
        <v>100</v>
      </c>
      <c r="D56" s="41" t="s">
        <v>718</v>
      </c>
      <c r="E56" s="41" t="s">
        <v>377</v>
      </c>
      <c r="F56" s="41" t="s">
        <v>445</v>
      </c>
      <c r="G56" s="41" t="s">
        <v>378</v>
      </c>
      <c r="H56" s="41" t="s">
        <v>450</v>
      </c>
      <c r="I56" s="41" t="s">
        <v>719</v>
      </c>
      <c r="J56" s="41" t="s">
        <v>720</v>
      </c>
      <c r="K56" s="41" t="s">
        <v>432</v>
      </c>
      <c r="L56" s="41" t="s">
        <v>498</v>
      </c>
      <c r="M56" s="42">
        <v>46156</v>
      </c>
      <c r="N56" s="42">
        <v>46156</v>
      </c>
      <c r="O56" s="41" t="s">
        <v>721</v>
      </c>
      <c r="P56" s="41" t="s">
        <v>493</v>
      </c>
      <c r="Q56" s="42">
        <v>46093</v>
      </c>
      <c r="R56" s="42">
        <v>46076</v>
      </c>
      <c r="S56" s="42">
        <v>46156</v>
      </c>
      <c r="T56" s="42">
        <v>46156</v>
      </c>
      <c r="U56" s="42">
        <v>46156</v>
      </c>
      <c r="V56" s="41" t="s">
        <v>722</v>
      </c>
      <c r="W56" s="41" t="s">
        <v>723</v>
      </c>
      <c r="X56" s="43">
        <v>89.06</v>
      </c>
      <c r="Y56" s="43">
        <v>89.06</v>
      </c>
    </row>
    <row r="57" spans="1:25" x14ac:dyDescent="0.25">
      <c r="A57" s="41" t="s">
        <v>445</v>
      </c>
      <c r="B57" s="41" t="s">
        <v>52</v>
      </c>
      <c r="C57" s="41" t="s">
        <v>100</v>
      </c>
      <c r="D57" s="41" t="s">
        <v>724</v>
      </c>
      <c r="E57" s="41" t="s">
        <v>380</v>
      </c>
      <c r="F57" s="41" t="s">
        <v>445</v>
      </c>
      <c r="G57" s="41" t="s">
        <v>381</v>
      </c>
      <c r="H57" s="41" t="s">
        <v>450</v>
      </c>
      <c r="I57" s="41" t="s">
        <v>725</v>
      </c>
      <c r="J57" s="41" t="s">
        <v>726</v>
      </c>
      <c r="K57" s="41" t="s">
        <v>432</v>
      </c>
      <c r="L57" s="41" t="s">
        <v>498</v>
      </c>
      <c r="M57" s="42">
        <v>46156</v>
      </c>
      <c r="N57" s="42">
        <v>46156</v>
      </c>
      <c r="O57" s="41" t="s">
        <v>721</v>
      </c>
      <c r="P57" s="41" t="s">
        <v>493</v>
      </c>
      <c r="Q57" s="42">
        <v>46093</v>
      </c>
      <c r="R57" s="42">
        <v>46076</v>
      </c>
      <c r="S57" s="42">
        <v>46156</v>
      </c>
      <c r="T57" s="42">
        <v>46156</v>
      </c>
      <c r="U57" s="42">
        <v>46156</v>
      </c>
      <c r="V57" s="41" t="s">
        <v>727</v>
      </c>
      <c r="W57" s="41" t="s">
        <v>728</v>
      </c>
      <c r="X57" s="43">
        <v>89.06</v>
      </c>
      <c r="Y57" s="43">
        <v>89.06</v>
      </c>
    </row>
    <row r="58" spans="1:25" x14ac:dyDescent="0.25">
      <c r="A58" s="41" t="s">
        <v>445</v>
      </c>
      <c r="B58" s="41" t="s">
        <v>52</v>
      </c>
      <c r="C58" s="41" t="s">
        <v>100</v>
      </c>
      <c r="D58" s="41" t="s">
        <v>729</v>
      </c>
      <c r="E58" s="41" t="s">
        <v>220</v>
      </c>
      <c r="F58" s="41" t="s">
        <v>445</v>
      </c>
      <c r="G58" s="41" t="s">
        <v>221</v>
      </c>
      <c r="H58" s="41" t="s">
        <v>450</v>
      </c>
      <c r="I58" s="41" t="s">
        <v>730</v>
      </c>
      <c r="J58" s="41" t="s">
        <v>731</v>
      </c>
      <c r="K58" s="41" t="s">
        <v>432</v>
      </c>
      <c r="L58" s="41" t="s">
        <v>491</v>
      </c>
      <c r="M58" s="42">
        <v>46156</v>
      </c>
      <c r="N58" s="42">
        <v>46156</v>
      </c>
      <c r="O58" s="41" t="s">
        <v>732</v>
      </c>
      <c r="P58" s="41" t="s">
        <v>493</v>
      </c>
      <c r="Q58" s="42">
        <v>46145</v>
      </c>
      <c r="R58" s="42">
        <v>46118</v>
      </c>
      <c r="S58" s="42">
        <v>46156</v>
      </c>
      <c r="T58" s="42">
        <v>46156</v>
      </c>
      <c r="U58" s="42">
        <v>46156</v>
      </c>
      <c r="V58" s="41" t="s">
        <v>733</v>
      </c>
      <c r="W58" s="41" t="s">
        <v>734</v>
      </c>
      <c r="X58" s="43">
        <v>0.13</v>
      </c>
      <c r="Y58" s="43">
        <v>0.13</v>
      </c>
    </row>
    <row r="59" spans="1:25" x14ac:dyDescent="0.25">
      <c r="A59" s="41" t="s">
        <v>445</v>
      </c>
      <c r="B59" s="41" t="s">
        <v>52</v>
      </c>
      <c r="C59" s="41" t="s">
        <v>100</v>
      </c>
      <c r="D59" s="41" t="s">
        <v>735</v>
      </c>
      <c r="E59" s="41" t="s">
        <v>382</v>
      </c>
      <c r="F59" s="41" t="s">
        <v>445</v>
      </c>
      <c r="G59" s="41" t="s">
        <v>383</v>
      </c>
      <c r="H59" s="41" t="s">
        <v>450</v>
      </c>
      <c r="I59" s="41" t="s">
        <v>736</v>
      </c>
      <c r="J59" s="41" t="s">
        <v>737</v>
      </c>
      <c r="K59" s="41" t="s">
        <v>432</v>
      </c>
      <c r="L59" s="41" t="s">
        <v>498</v>
      </c>
      <c r="M59" s="42">
        <v>46156</v>
      </c>
      <c r="N59" s="42">
        <v>46156</v>
      </c>
      <c r="O59" s="41" t="s">
        <v>738</v>
      </c>
      <c r="P59" s="41" t="s">
        <v>493</v>
      </c>
      <c r="Q59" s="42">
        <v>46145</v>
      </c>
      <c r="R59" s="42">
        <v>46125</v>
      </c>
      <c r="S59" s="42">
        <v>46156</v>
      </c>
      <c r="T59" s="42">
        <v>46156</v>
      </c>
      <c r="U59" s="42">
        <v>46156</v>
      </c>
      <c r="V59" s="41" t="s">
        <v>739</v>
      </c>
      <c r="W59" s="41" t="s">
        <v>740</v>
      </c>
      <c r="X59" s="43">
        <v>89.06</v>
      </c>
      <c r="Y59" s="43">
        <v>89.06</v>
      </c>
    </row>
    <row r="60" spans="1:25" x14ac:dyDescent="0.25">
      <c r="A60" s="41" t="s">
        <v>445</v>
      </c>
      <c r="B60" s="41" t="s">
        <v>52</v>
      </c>
      <c r="C60" s="41" t="s">
        <v>100</v>
      </c>
      <c r="D60" s="41" t="s">
        <v>741</v>
      </c>
      <c r="E60" s="41" t="s">
        <v>384</v>
      </c>
      <c r="F60" s="41" t="s">
        <v>445</v>
      </c>
      <c r="G60" s="41" t="s">
        <v>385</v>
      </c>
      <c r="H60" s="41" t="s">
        <v>450</v>
      </c>
      <c r="I60" s="41" t="s">
        <v>742</v>
      </c>
      <c r="J60" s="41" t="s">
        <v>743</v>
      </c>
      <c r="K60" s="41" t="s">
        <v>432</v>
      </c>
      <c r="L60" s="41" t="s">
        <v>498</v>
      </c>
      <c r="M60" s="42">
        <v>46156</v>
      </c>
      <c r="N60" s="42">
        <v>46156</v>
      </c>
      <c r="O60" s="41" t="s">
        <v>738</v>
      </c>
      <c r="P60" s="41" t="s">
        <v>493</v>
      </c>
      <c r="Q60" s="42">
        <v>46145</v>
      </c>
      <c r="R60" s="42">
        <v>46125</v>
      </c>
      <c r="S60" s="42">
        <v>46156</v>
      </c>
      <c r="T60" s="42">
        <v>46156</v>
      </c>
      <c r="U60" s="42">
        <v>46156</v>
      </c>
      <c r="V60" s="41" t="s">
        <v>744</v>
      </c>
      <c r="W60" s="41" t="s">
        <v>745</v>
      </c>
      <c r="X60" s="43">
        <v>89.06</v>
      </c>
      <c r="Y60" s="43">
        <v>89.06</v>
      </c>
    </row>
    <row r="61" spans="1:25" x14ac:dyDescent="0.25">
      <c r="A61" s="41" t="s">
        <v>445</v>
      </c>
      <c r="B61" s="41" t="s">
        <v>52</v>
      </c>
      <c r="C61" s="41" t="s">
        <v>100</v>
      </c>
      <c r="D61" s="41" t="s">
        <v>746</v>
      </c>
      <c r="E61" s="41" t="s">
        <v>223</v>
      </c>
      <c r="F61" s="41" t="s">
        <v>445</v>
      </c>
      <c r="G61" s="41" t="s">
        <v>224</v>
      </c>
      <c r="H61" s="41" t="s">
        <v>450</v>
      </c>
      <c r="I61" s="41" t="s">
        <v>747</v>
      </c>
      <c r="J61" s="41" t="s">
        <v>748</v>
      </c>
      <c r="K61" s="41" t="s">
        <v>432</v>
      </c>
      <c r="L61" s="41" t="s">
        <v>498</v>
      </c>
      <c r="M61" s="42">
        <v>46156</v>
      </c>
      <c r="N61" s="42">
        <v>46156</v>
      </c>
      <c r="O61" s="41" t="s">
        <v>738</v>
      </c>
      <c r="P61" s="41" t="s">
        <v>493</v>
      </c>
      <c r="Q61" s="42">
        <v>46145</v>
      </c>
      <c r="R61" s="42">
        <v>46125</v>
      </c>
      <c r="S61" s="42">
        <v>46156</v>
      </c>
      <c r="T61" s="42">
        <v>46155</v>
      </c>
      <c r="U61" s="42">
        <v>46155</v>
      </c>
      <c r="V61" s="41" t="s">
        <v>749</v>
      </c>
      <c r="W61" s="41" t="s">
        <v>750</v>
      </c>
      <c r="X61" s="43">
        <v>534.36</v>
      </c>
      <c r="Y61" s="43">
        <v>534.36</v>
      </c>
    </row>
    <row r="62" spans="1:25" x14ac:dyDescent="0.25">
      <c r="A62" s="41" t="s">
        <v>445</v>
      </c>
      <c r="B62" s="41" t="s">
        <v>52</v>
      </c>
      <c r="C62" s="41" t="s">
        <v>100</v>
      </c>
      <c r="D62" s="41" t="s">
        <v>751</v>
      </c>
      <c r="E62" s="41" t="s">
        <v>226</v>
      </c>
      <c r="F62" s="41" t="s">
        <v>445</v>
      </c>
      <c r="G62" s="41" t="s">
        <v>227</v>
      </c>
      <c r="H62" s="41" t="s">
        <v>450</v>
      </c>
      <c r="I62" s="41" t="s">
        <v>752</v>
      </c>
      <c r="J62" s="41" t="s">
        <v>753</v>
      </c>
      <c r="K62" s="41" t="s">
        <v>432</v>
      </c>
      <c r="L62" s="41" t="s">
        <v>498</v>
      </c>
      <c r="M62" s="42">
        <v>46156</v>
      </c>
      <c r="N62" s="42">
        <v>46156</v>
      </c>
      <c r="O62" s="41" t="s">
        <v>738</v>
      </c>
      <c r="P62" s="41" t="s">
        <v>493</v>
      </c>
      <c r="Q62" s="42">
        <v>46145</v>
      </c>
      <c r="R62" s="42">
        <v>46125</v>
      </c>
      <c r="S62" s="42">
        <v>46156</v>
      </c>
      <c r="T62" s="42">
        <v>46156</v>
      </c>
      <c r="U62" s="42">
        <v>46156</v>
      </c>
      <c r="V62" s="41" t="s">
        <v>754</v>
      </c>
      <c r="W62" s="41" t="s">
        <v>755</v>
      </c>
      <c r="X62" s="43">
        <v>89.1</v>
      </c>
      <c r="Y62" s="43">
        <v>89.1</v>
      </c>
    </row>
    <row r="63" spans="1:25" x14ac:dyDescent="0.25">
      <c r="A63" s="41" t="s">
        <v>443</v>
      </c>
      <c r="B63" s="41" t="s">
        <v>52</v>
      </c>
      <c r="C63" s="41" t="s">
        <v>124</v>
      </c>
      <c r="D63" s="41" t="s">
        <v>756</v>
      </c>
      <c r="E63" s="41" t="s">
        <v>364</v>
      </c>
      <c r="F63" s="41" t="s">
        <v>443</v>
      </c>
      <c r="G63" s="41" t="s">
        <v>365</v>
      </c>
      <c r="H63" s="41" t="s">
        <v>444</v>
      </c>
      <c r="I63" s="41" t="s">
        <v>757</v>
      </c>
      <c r="J63" s="41" t="s">
        <v>758</v>
      </c>
      <c r="K63" s="41" t="s">
        <v>432</v>
      </c>
      <c r="L63" s="41" t="s">
        <v>498</v>
      </c>
      <c r="M63" s="42">
        <v>46156</v>
      </c>
      <c r="N63" s="42">
        <v>46156</v>
      </c>
      <c r="O63" s="41" t="s">
        <v>759</v>
      </c>
      <c r="P63" s="41" t="s">
        <v>544</v>
      </c>
      <c r="Q63" s="42">
        <v>46140</v>
      </c>
      <c r="R63" s="42">
        <v>46140</v>
      </c>
      <c r="S63" s="42">
        <v>46156</v>
      </c>
      <c r="T63" s="42">
        <v>46156</v>
      </c>
      <c r="U63" s="42">
        <v>46156</v>
      </c>
      <c r="V63" s="41" t="s">
        <v>760</v>
      </c>
      <c r="W63" s="41" t="s">
        <v>761</v>
      </c>
      <c r="X63" s="43">
        <v>0.03</v>
      </c>
      <c r="Y63" s="43">
        <v>0.03</v>
      </c>
    </row>
    <row r="64" spans="1:25" x14ac:dyDescent="0.25">
      <c r="A64" s="41" t="s">
        <v>443</v>
      </c>
      <c r="B64" s="41" t="s">
        <v>52</v>
      </c>
      <c r="C64" s="41" t="s">
        <v>124</v>
      </c>
      <c r="D64" s="41" t="s">
        <v>762</v>
      </c>
      <c r="E64" s="41" t="s">
        <v>366</v>
      </c>
      <c r="F64" s="41" t="s">
        <v>443</v>
      </c>
      <c r="G64" s="41" t="s">
        <v>367</v>
      </c>
      <c r="H64" s="41" t="s">
        <v>444</v>
      </c>
      <c r="I64" s="41" t="s">
        <v>763</v>
      </c>
      <c r="J64" s="41" t="s">
        <v>764</v>
      </c>
      <c r="K64" s="41" t="s">
        <v>432</v>
      </c>
      <c r="L64" s="41" t="s">
        <v>498</v>
      </c>
      <c r="M64" s="42">
        <v>46156</v>
      </c>
      <c r="N64" s="42">
        <v>46156</v>
      </c>
      <c r="O64" s="41" t="s">
        <v>759</v>
      </c>
      <c r="P64" s="41" t="s">
        <v>544</v>
      </c>
      <c r="Q64" s="42">
        <v>46140</v>
      </c>
      <c r="R64" s="42">
        <v>46140</v>
      </c>
      <c r="S64" s="42">
        <v>46156</v>
      </c>
      <c r="T64" s="42">
        <v>46155</v>
      </c>
      <c r="U64" s="42">
        <v>46155</v>
      </c>
      <c r="V64" s="41" t="s">
        <v>765</v>
      </c>
      <c r="W64" s="41" t="s">
        <v>766</v>
      </c>
      <c r="X64" s="43">
        <v>0.03</v>
      </c>
      <c r="Y64" s="43">
        <v>0.03</v>
      </c>
    </row>
    <row r="65" spans="1:25" x14ac:dyDescent="0.25">
      <c r="A65" s="41" t="s">
        <v>443</v>
      </c>
      <c r="B65" s="41" t="s">
        <v>52</v>
      </c>
      <c r="C65" s="41" t="s">
        <v>124</v>
      </c>
      <c r="D65" s="41" t="s">
        <v>767</v>
      </c>
      <c r="E65" s="41" t="s">
        <v>368</v>
      </c>
      <c r="F65" s="41" t="s">
        <v>443</v>
      </c>
      <c r="G65" s="41" t="s">
        <v>369</v>
      </c>
      <c r="H65" s="41" t="s">
        <v>444</v>
      </c>
      <c r="I65" s="41" t="s">
        <v>768</v>
      </c>
      <c r="J65" s="41" t="s">
        <v>769</v>
      </c>
      <c r="K65" s="41" t="s">
        <v>432</v>
      </c>
      <c r="L65" s="41" t="s">
        <v>498</v>
      </c>
      <c r="M65" s="42">
        <v>46156</v>
      </c>
      <c r="N65" s="42">
        <v>46156</v>
      </c>
      <c r="O65" s="41" t="s">
        <v>759</v>
      </c>
      <c r="P65" s="41" t="s">
        <v>770</v>
      </c>
      <c r="Q65" s="42">
        <v>46140</v>
      </c>
      <c r="R65" s="42">
        <v>46140</v>
      </c>
      <c r="S65" s="42">
        <v>46156</v>
      </c>
      <c r="T65" s="42">
        <v>46154</v>
      </c>
      <c r="U65" s="42">
        <v>46154</v>
      </c>
      <c r="V65" s="41" t="s">
        <v>771</v>
      </c>
      <c r="W65" s="41" t="s">
        <v>772</v>
      </c>
      <c r="X65" s="43">
        <v>0.03</v>
      </c>
      <c r="Y65" s="43">
        <v>0.03</v>
      </c>
    </row>
    <row r="66" spans="1:25" x14ac:dyDescent="0.25">
      <c r="A66" s="41" t="s">
        <v>443</v>
      </c>
      <c r="B66" s="41" t="s">
        <v>52</v>
      </c>
      <c r="C66" s="41" t="s">
        <v>100</v>
      </c>
      <c r="D66" s="41" t="s">
        <v>773</v>
      </c>
      <c r="E66" s="41" t="s">
        <v>355</v>
      </c>
      <c r="F66" s="41" t="s">
        <v>443</v>
      </c>
      <c r="G66" s="41" t="s">
        <v>356</v>
      </c>
      <c r="H66" s="41" t="s">
        <v>444</v>
      </c>
      <c r="I66" s="41" t="s">
        <v>774</v>
      </c>
      <c r="J66" s="41" t="s">
        <v>775</v>
      </c>
      <c r="K66" s="41" t="s">
        <v>432</v>
      </c>
      <c r="L66" s="41" t="s">
        <v>498</v>
      </c>
      <c r="M66" s="42">
        <v>46156</v>
      </c>
      <c r="N66" s="42">
        <v>46156</v>
      </c>
      <c r="O66" s="41" t="s">
        <v>759</v>
      </c>
      <c r="P66" s="41" t="s">
        <v>544</v>
      </c>
      <c r="Q66" s="42">
        <v>46140</v>
      </c>
      <c r="R66" s="42">
        <v>46140</v>
      </c>
      <c r="S66" s="42">
        <v>46156</v>
      </c>
      <c r="T66" s="42">
        <v>46155</v>
      </c>
      <c r="U66" s="42">
        <v>46155</v>
      </c>
      <c r="V66" s="41" t="s">
        <v>776</v>
      </c>
      <c r="W66" s="41" t="s">
        <v>777</v>
      </c>
      <c r="X66" s="43">
        <v>0.03</v>
      </c>
      <c r="Y66" s="43">
        <v>0.03</v>
      </c>
    </row>
    <row r="67" spans="1:25" x14ac:dyDescent="0.25">
      <c r="A67" s="41" t="s">
        <v>443</v>
      </c>
      <c r="B67" s="41" t="s">
        <v>52</v>
      </c>
      <c r="C67" s="41" t="s">
        <v>124</v>
      </c>
      <c r="D67" s="41" t="s">
        <v>778</v>
      </c>
      <c r="E67" s="41" t="s">
        <v>370</v>
      </c>
      <c r="F67" s="41" t="s">
        <v>443</v>
      </c>
      <c r="G67" s="41" t="s">
        <v>371</v>
      </c>
      <c r="H67" s="41" t="s">
        <v>444</v>
      </c>
      <c r="I67" s="41" t="s">
        <v>779</v>
      </c>
      <c r="J67" s="41" t="s">
        <v>780</v>
      </c>
      <c r="K67" s="41" t="s">
        <v>432</v>
      </c>
      <c r="L67" s="41" t="s">
        <v>498</v>
      </c>
      <c r="M67" s="42">
        <v>46156</v>
      </c>
      <c r="N67" s="42">
        <v>46156</v>
      </c>
      <c r="O67" s="41" t="s">
        <v>759</v>
      </c>
      <c r="P67" s="41" t="s">
        <v>544</v>
      </c>
      <c r="Q67" s="42">
        <v>46140</v>
      </c>
      <c r="R67" s="42">
        <v>46140</v>
      </c>
      <c r="S67" s="42">
        <v>46156</v>
      </c>
      <c r="T67" s="42">
        <v>46155</v>
      </c>
      <c r="U67" s="42">
        <v>46155</v>
      </c>
      <c r="V67" s="41" t="s">
        <v>781</v>
      </c>
      <c r="W67" s="41" t="s">
        <v>782</v>
      </c>
      <c r="X67" s="43">
        <v>0.03</v>
      </c>
      <c r="Y67" s="43">
        <v>0.03</v>
      </c>
    </row>
    <row r="68" spans="1:25" x14ac:dyDescent="0.25">
      <c r="A68" s="41" t="s">
        <v>443</v>
      </c>
      <c r="B68" s="41" t="s">
        <v>52</v>
      </c>
      <c r="C68" s="41" t="s">
        <v>100</v>
      </c>
      <c r="D68" s="41" t="s">
        <v>783</v>
      </c>
      <c r="E68" s="41" t="s">
        <v>358</v>
      </c>
      <c r="F68" s="41" t="s">
        <v>443</v>
      </c>
      <c r="G68" s="41" t="s">
        <v>359</v>
      </c>
      <c r="H68" s="41" t="s">
        <v>444</v>
      </c>
      <c r="I68" s="41" t="s">
        <v>784</v>
      </c>
      <c r="J68" s="41" t="s">
        <v>780</v>
      </c>
      <c r="K68" s="41" t="s">
        <v>432</v>
      </c>
      <c r="L68" s="41" t="s">
        <v>498</v>
      </c>
      <c r="M68" s="42">
        <v>46156</v>
      </c>
      <c r="N68" s="42">
        <v>46156</v>
      </c>
      <c r="O68" s="41" t="s">
        <v>759</v>
      </c>
      <c r="P68" s="41" t="s">
        <v>544</v>
      </c>
      <c r="Q68" s="42">
        <v>46140</v>
      </c>
      <c r="R68" s="42">
        <v>46140</v>
      </c>
      <c r="S68" s="42">
        <v>46156</v>
      </c>
      <c r="T68" s="42">
        <v>46155</v>
      </c>
      <c r="U68" s="42">
        <v>46155</v>
      </c>
      <c r="V68" s="41" t="s">
        <v>785</v>
      </c>
      <c r="W68" s="41" t="s">
        <v>786</v>
      </c>
      <c r="X68" s="43">
        <v>0.03</v>
      </c>
      <c r="Y68" s="43">
        <v>0.03</v>
      </c>
    </row>
    <row r="69" spans="1:25" x14ac:dyDescent="0.25">
      <c r="A69" s="41" t="s">
        <v>443</v>
      </c>
      <c r="B69" s="41" t="s">
        <v>52</v>
      </c>
      <c r="C69" s="41" t="s">
        <v>54</v>
      </c>
      <c r="D69" s="41" t="s">
        <v>787</v>
      </c>
      <c r="E69" s="41" t="s">
        <v>178</v>
      </c>
      <c r="F69" s="41" t="s">
        <v>443</v>
      </c>
      <c r="G69" s="41" t="s">
        <v>179</v>
      </c>
      <c r="H69" s="41" t="s">
        <v>444</v>
      </c>
      <c r="I69" s="41" t="s">
        <v>788</v>
      </c>
      <c r="J69" s="41" t="s">
        <v>789</v>
      </c>
      <c r="K69" s="41" t="s">
        <v>432</v>
      </c>
      <c r="L69" s="41" t="s">
        <v>498</v>
      </c>
      <c r="M69" s="42">
        <v>46156</v>
      </c>
      <c r="N69" s="42">
        <v>46156</v>
      </c>
      <c r="O69" s="41" t="s">
        <v>790</v>
      </c>
      <c r="P69" s="41" t="s">
        <v>544</v>
      </c>
      <c r="Q69" s="42">
        <v>46148</v>
      </c>
      <c r="R69" s="42">
        <v>46140</v>
      </c>
      <c r="S69" s="42">
        <v>46156</v>
      </c>
      <c r="T69" s="42">
        <v>46156</v>
      </c>
      <c r="U69" s="42">
        <v>46157</v>
      </c>
      <c r="V69" s="41" t="s">
        <v>494</v>
      </c>
      <c r="W69" s="41" t="s">
        <v>494</v>
      </c>
      <c r="X69" s="43">
        <v>4161.2</v>
      </c>
      <c r="Y69" s="43">
        <v>906.4</v>
      </c>
    </row>
    <row r="70" spans="1:25" x14ac:dyDescent="0.25">
      <c r="A70" s="41" t="s">
        <v>443</v>
      </c>
      <c r="B70" s="41" t="s">
        <v>52</v>
      </c>
      <c r="C70" s="41" t="s">
        <v>54</v>
      </c>
      <c r="D70" s="41" t="s">
        <v>791</v>
      </c>
      <c r="E70" s="41" t="s">
        <v>181</v>
      </c>
      <c r="F70" s="41" t="s">
        <v>443</v>
      </c>
      <c r="G70" s="41" t="s">
        <v>182</v>
      </c>
      <c r="H70" s="41" t="s">
        <v>444</v>
      </c>
      <c r="I70" s="41" t="s">
        <v>792</v>
      </c>
      <c r="J70" s="41" t="s">
        <v>793</v>
      </c>
      <c r="K70" s="41" t="s">
        <v>432</v>
      </c>
      <c r="L70" s="41" t="s">
        <v>498</v>
      </c>
      <c r="M70" s="42">
        <v>46156</v>
      </c>
      <c r="N70" s="42">
        <v>46156</v>
      </c>
      <c r="O70" s="41" t="s">
        <v>794</v>
      </c>
      <c r="P70" s="41" t="s">
        <v>659</v>
      </c>
      <c r="Q70" s="42">
        <v>46147</v>
      </c>
      <c r="R70" s="42">
        <v>46147</v>
      </c>
      <c r="S70" s="42">
        <v>46156</v>
      </c>
      <c r="T70" s="42">
        <v>46156</v>
      </c>
      <c r="U70" s="42">
        <v>46156</v>
      </c>
      <c r="V70" s="41" t="s">
        <v>494</v>
      </c>
      <c r="W70" s="41" t="s">
        <v>494</v>
      </c>
      <c r="X70" s="43">
        <v>0.15</v>
      </c>
      <c r="Y70" s="43">
        <v>0.15</v>
      </c>
    </row>
    <row r="71" spans="1:25" x14ac:dyDescent="0.25">
      <c r="A71" s="41" t="s">
        <v>443</v>
      </c>
      <c r="B71" s="41" t="s">
        <v>104</v>
      </c>
      <c r="C71" s="41" t="s">
        <v>106</v>
      </c>
      <c r="D71" s="41" t="s">
        <v>795</v>
      </c>
      <c r="E71" s="41" t="s">
        <v>212</v>
      </c>
      <c r="F71" s="41" t="s">
        <v>443</v>
      </c>
      <c r="G71" s="41" t="s">
        <v>213</v>
      </c>
      <c r="H71" s="41" t="s">
        <v>444</v>
      </c>
      <c r="I71" s="41" t="s">
        <v>796</v>
      </c>
      <c r="J71" s="41" t="s">
        <v>797</v>
      </c>
      <c r="K71" s="41" t="s">
        <v>490</v>
      </c>
      <c r="L71" s="41" t="s">
        <v>498</v>
      </c>
      <c r="M71" s="42">
        <v>46156</v>
      </c>
      <c r="N71" s="42">
        <v>46156</v>
      </c>
      <c r="O71" s="41" t="s">
        <v>798</v>
      </c>
      <c r="P71" s="41" t="s">
        <v>544</v>
      </c>
      <c r="Q71" s="42">
        <v>46157</v>
      </c>
      <c r="R71" s="42">
        <v>46156</v>
      </c>
      <c r="S71" s="42">
        <v>46156</v>
      </c>
      <c r="T71" s="42">
        <v>46156</v>
      </c>
      <c r="U71" s="42">
        <v>46157</v>
      </c>
      <c r="V71" s="41" t="s">
        <v>494</v>
      </c>
      <c r="W71" s="41" t="s">
        <v>494</v>
      </c>
      <c r="X71" s="43">
        <v>247.2</v>
      </c>
      <c r="Y71" s="43">
        <v>247.2</v>
      </c>
    </row>
    <row r="72" spans="1:25" x14ac:dyDescent="0.25">
      <c r="A72" s="41" t="s">
        <v>445</v>
      </c>
      <c r="B72" s="41" t="s">
        <v>52</v>
      </c>
      <c r="C72" s="41" t="s">
        <v>54</v>
      </c>
      <c r="D72" s="41" t="s">
        <v>799</v>
      </c>
      <c r="E72" s="41" t="s">
        <v>286</v>
      </c>
      <c r="F72" s="41" t="s">
        <v>445</v>
      </c>
      <c r="G72" s="41" t="s">
        <v>287</v>
      </c>
      <c r="H72" s="41" t="s">
        <v>450</v>
      </c>
      <c r="I72" s="41" t="s">
        <v>800</v>
      </c>
      <c r="J72" s="41" t="s">
        <v>801</v>
      </c>
      <c r="K72" s="41" t="s">
        <v>512</v>
      </c>
      <c r="L72" s="41" t="s">
        <v>498</v>
      </c>
      <c r="M72" s="42">
        <v>46157</v>
      </c>
      <c r="N72" s="42">
        <v>46157</v>
      </c>
      <c r="O72" s="41" t="s">
        <v>513</v>
      </c>
      <c r="P72" s="41" t="s">
        <v>492</v>
      </c>
      <c r="Q72" s="42">
        <v>45838</v>
      </c>
      <c r="R72" s="42">
        <v>45838</v>
      </c>
      <c r="S72" s="42">
        <v>46157</v>
      </c>
      <c r="T72" s="42">
        <v>46156</v>
      </c>
      <c r="U72" s="42">
        <v>46159</v>
      </c>
      <c r="V72" s="41" t="s">
        <v>494</v>
      </c>
      <c r="W72" s="41" t="s">
        <v>494</v>
      </c>
      <c r="X72" s="43">
        <v>12257.58</v>
      </c>
      <c r="Y72" s="43">
        <v>15440.44</v>
      </c>
    </row>
    <row r="73" spans="1:25" x14ac:dyDescent="0.25">
      <c r="A73" s="41" t="s">
        <v>445</v>
      </c>
      <c r="B73" s="41" t="s">
        <v>52</v>
      </c>
      <c r="C73" s="41" t="s">
        <v>54</v>
      </c>
      <c r="D73" s="41" t="s">
        <v>802</v>
      </c>
      <c r="E73" s="41" t="s">
        <v>288</v>
      </c>
      <c r="F73" s="41" t="s">
        <v>445</v>
      </c>
      <c r="G73" s="41" t="s">
        <v>289</v>
      </c>
      <c r="H73" s="41" t="s">
        <v>450</v>
      </c>
      <c r="I73" s="41" t="s">
        <v>803</v>
      </c>
      <c r="J73" s="41" t="s">
        <v>804</v>
      </c>
      <c r="K73" s="41" t="s">
        <v>805</v>
      </c>
      <c r="L73" s="41" t="s">
        <v>491</v>
      </c>
      <c r="M73" s="42">
        <v>46157</v>
      </c>
      <c r="N73" s="42">
        <v>46157</v>
      </c>
      <c r="O73" s="41" t="s">
        <v>504</v>
      </c>
      <c r="P73" s="41" t="s">
        <v>492</v>
      </c>
      <c r="Q73" s="42">
        <v>45925</v>
      </c>
      <c r="R73" s="42">
        <v>45883</v>
      </c>
      <c r="S73" s="42">
        <v>46157</v>
      </c>
      <c r="T73" s="42">
        <v>46155</v>
      </c>
      <c r="U73" s="41" t="s">
        <v>494</v>
      </c>
      <c r="V73" s="41" t="s">
        <v>494</v>
      </c>
      <c r="W73" s="41" t="s">
        <v>494</v>
      </c>
      <c r="X73" s="43">
        <v>11500.37</v>
      </c>
      <c r="Y73" s="43">
        <v>11578.9</v>
      </c>
    </row>
    <row r="74" spans="1:25" x14ac:dyDescent="0.25">
      <c r="A74" s="41" t="s">
        <v>445</v>
      </c>
      <c r="B74" s="41" t="s">
        <v>52</v>
      </c>
      <c r="C74" s="41" t="s">
        <v>100</v>
      </c>
      <c r="D74" s="41" t="s">
        <v>806</v>
      </c>
      <c r="E74" s="41" t="s">
        <v>217</v>
      </c>
      <c r="F74" s="41" t="s">
        <v>445</v>
      </c>
      <c r="G74" s="41" t="s">
        <v>218</v>
      </c>
      <c r="H74" s="41" t="s">
        <v>450</v>
      </c>
      <c r="I74" s="41" t="s">
        <v>713</v>
      </c>
      <c r="J74" s="41" t="s">
        <v>714</v>
      </c>
      <c r="K74" s="41" t="s">
        <v>432</v>
      </c>
      <c r="L74" s="41" t="s">
        <v>498</v>
      </c>
      <c r="M74" s="42">
        <v>46157</v>
      </c>
      <c r="N74" s="42">
        <v>46157</v>
      </c>
      <c r="O74" s="41" t="s">
        <v>732</v>
      </c>
      <c r="P74" s="41" t="s">
        <v>493</v>
      </c>
      <c r="Q74" s="42">
        <v>46145</v>
      </c>
      <c r="R74" s="42">
        <v>46118</v>
      </c>
      <c r="S74" s="42">
        <v>46157</v>
      </c>
      <c r="T74" s="42">
        <v>46158</v>
      </c>
      <c r="U74" s="42">
        <v>46158</v>
      </c>
      <c r="V74" s="41" t="s">
        <v>807</v>
      </c>
      <c r="W74" s="41" t="s">
        <v>808</v>
      </c>
      <c r="X74" s="43">
        <v>231.53</v>
      </c>
      <c r="Y74" s="43">
        <v>231.53</v>
      </c>
    </row>
    <row r="75" spans="1:25" x14ac:dyDescent="0.25">
      <c r="A75" s="41" t="s">
        <v>445</v>
      </c>
      <c r="B75" s="41" t="s">
        <v>52</v>
      </c>
      <c r="C75" s="41" t="s">
        <v>100</v>
      </c>
      <c r="D75" s="41" t="s">
        <v>809</v>
      </c>
      <c r="E75" s="41" t="s">
        <v>236</v>
      </c>
      <c r="F75" s="41" t="s">
        <v>445</v>
      </c>
      <c r="G75" s="41" t="s">
        <v>237</v>
      </c>
      <c r="H75" s="41" t="s">
        <v>450</v>
      </c>
      <c r="I75" s="41" t="s">
        <v>810</v>
      </c>
      <c r="J75" s="41" t="s">
        <v>811</v>
      </c>
      <c r="K75" s="41" t="s">
        <v>432</v>
      </c>
      <c r="L75" s="41" t="s">
        <v>491</v>
      </c>
      <c r="M75" s="42">
        <v>46157</v>
      </c>
      <c r="N75" s="42">
        <v>46157</v>
      </c>
      <c r="O75" s="41" t="s">
        <v>527</v>
      </c>
      <c r="P75" s="41" t="s">
        <v>493</v>
      </c>
      <c r="Q75" s="42">
        <v>46145</v>
      </c>
      <c r="R75" s="42">
        <v>46126</v>
      </c>
      <c r="S75" s="42">
        <v>46157</v>
      </c>
      <c r="T75" s="42">
        <v>46157</v>
      </c>
      <c r="U75" s="42">
        <v>46157</v>
      </c>
      <c r="V75" s="41" t="s">
        <v>812</v>
      </c>
      <c r="W75" s="41" t="s">
        <v>813</v>
      </c>
      <c r="X75" s="43">
        <v>178.18</v>
      </c>
      <c r="Y75" s="43">
        <v>178.18</v>
      </c>
    </row>
    <row r="76" spans="1:25" x14ac:dyDescent="0.25">
      <c r="A76" s="41" t="s">
        <v>443</v>
      </c>
      <c r="B76" s="41" t="s">
        <v>52</v>
      </c>
      <c r="C76" s="41" t="s">
        <v>100</v>
      </c>
      <c r="D76" s="41" t="s">
        <v>814</v>
      </c>
      <c r="E76" s="41" t="s">
        <v>166</v>
      </c>
      <c r="F76" s="41" t="s">
        <v>443</v>
      </c>
      <c r="G76" s="41" t="s">
        <v>167</v>
      </c>
      <c r="H76" s="41" t="s">
        <v>444</v>
      </c>
      <c r="I76" s="41" t="s">
        <v>815</v>
      </c>
      <c r="J76" s="41" t="s">
        <v>816</v>
      </c>
      <c r="K76" s="41" t="s">
        <v>432</v>
      </c>
      <c r="L76" s="41" t="s">
        <v>498</v>
      </c>
      <c r="M76" s="42">
        <v>46157</v>
      </c>
      <c r="N76" s="42">
        <v>46158</v>
      </c>
      <c r="O76" s="41" t="s">
        <v>817</v>
      </c>
      <c r="P76" s="41" t="s">
        <v>544</v>
      </c>
      <c r="Q76" s="42">
        <v>46146</v>
      </c>
      <c r="R76" s="42">
        <v>46130</v>
      </c>
      <c r="S76" s="42">
        <v>46157</v>
      </c>
      <c r="T76" s="42">
        <v>46157</v>
      </c>
      <c r="U76" s="42">
        <v>46159</v>
      </c>
      <c r="V76" s="41" t="s">
        <v>818</v>
      </c>
      <c r="W76" s="41" t="s">
        <v>819</v>
      </c>
      <c r="X76" s="43">
        <v>1812.8</v>
      </c>
      <c r="Y76" s="43">
        <v>1812.8</v>
      </c>
    </row>
    <row r="77" spans="1:25" x14ac:dyDescent="0.25">
      <c r="A77" s="41" t="s">
        <v>443</v>
      </c>
      <c r="B77" s="41" t="s">
        <v>52</v>
      </c>
      <c r="C77" s="41" t="s">
        <v>124</v>
      </c>
      <c r="D77" s="41" t="s">
        <v>820</v>
      </c>
      <c r="E77" s="41" t="s">
        <v>372</v>
      </c>
      <c r="F77" s="41" t="s">
        <v>443</v>
      </c>
      <c r="G77" s="41" t="s">
        <v>373</v>
      </c>
      <c r="H77" s="41" t="s">
        <v>444</v>
      </c>
      <c r="I77" s="41" t="s">
        <v>821</v>
      </c>
      <c r="J77" s="41" t="s">
        <v>822</v>
      </c>
      <c r="K77" s="41" t="s">
        <v>432</v>
      </c>
      <c r="L77" s="41" t="s">
        <v>498</v>
      </c>
      <c r="M77" s="42">
        <v>46157</v>
      </c>
      <c r="N77" s="42">
        <v>46157</v>
      </c>
      <c r="O77" s="41" t="s">
        <v>759</v>
      </c>
      <c r="P77" s="41" t="s">
        <v>544</v>
      </c>
      <c r="Q77" s="42">
        <v>46140</v>
      </c>
      <c r="R77" s="42">
        <v>46140</v>
      </c>
      <c r="S77" s="42">
        <v>46157</v>
      </c>
      <c r="T77" s="42">
        <v>46156</v>
      </c>
      <c r="U77" s="42">
        <v>46156</v>
      </c>
      <c r="V77" s="41" t="s">
        <v>823</v>
      </c>
      <c r="W77" s="41" t="s">
        <v>824</v>
      </c>
      <c r="X77" s="43">
        <v>0.03</v>
      </c>
      <c r="Y77" s="43">
        <v>0.03</v>
      </c>
    </row>
    <row r="78" spans="1:25" x14ac:dyDescent="0.25">
      <c r="A78" s="41" t="s">
        <v>443</v>
      </c>
      <c r="B78" s="41" t="s">
        <v>52</v>
      </c>
      <c r="C78" s="41" t="s">
        <v>124</v>
      </c>
      <c r="D78" s="41" t="s">
        <v>825</v>
      </c>
      <c r="E78" s="41" t="s">
        <v>374</v>
      </c>
      <c r="F78" s="41" t="s">
        <v>443</v>
      </c>
      <c r="G78" s="41" t="s">
        <v>375</v>
      </c>
      <c r="H78" s="41" t="s">
        <v>444</v>
      </c>
      <c r="I78" s="41" t="s">
        <v>826</v>
      </c>
      <c r="J78" s="41" t="s">
        <v>827</v>
      </c>
      <c r="K78" s="41" t="s">
        <v>432</v>
      </c>
      <c r="L78" s="41" t="s">
        <v>498</v>
      </c>
      <c r="M78" s="42">
        <v>46157</v>
      </c>
      <c r="N78" s="42">
        <v>46157</v>
      </c>
      <c r="O78" s="41" t="s">
        <v>759</v>
      </c>
      <c r="P78" s="41" t="s">
        <v>544</v>
      </c>
      <c r="Q78" s="42">
        <v>46140</v>
      </c>
      <c r="R78" s="42">
        <v>46140</v>
      </c>
      <c r="S78" s="42">
        <v>46157</v>
      </c>
      <c r="T78" s="42">
        <v>46156</v>
      </c>
      <c r="U78" s="42">
        <v>46156</v>
      </c>
      <c r="V78" s="41" t="s">
        <v>828</v>
      </c>
      <c r="W78" s="41" t="s">
        <v>829</v>
      </c>
      <c r="X78" s="43">
        <v>0.03</v>
      </c>
      <c r="Y78" s="43">
        <v>0.03</v>
      </c>
    </row>
    <row r="79" spans="1:25" x14ac:dyDescent="0.25">
      <c r="A79" s="41" t="s">
        <v>445</v>
      </c>
      <c r="B79" s="41" t="s">
        <v>52</v>
      </c>
      <c r="C79" s="41" t="s">
        <v>54</v>
      </c>
      <c r="D79" s="41" t="s">
        <v>830</v>
      </c>
      <c r="E79" s="41" t="s">
        <v>296</v>
      </c>
      <c r="F79" s="41" t="s">
        <v>445</v>
      </c>
      <c r="G79" s="41" t="s">
        <v>297</v>
      </c>
      <c r="H79" s="41" t="s">
        <v>450</v>
      </c>
      <c r="I79" s="41" t="s">
        <v>831</v>
      </c>
      <c r="J79" s="41" t="s">
        <v>832</v>
      </c>
      <c r="K79" s="41" t="s">
        <v>432</v>
      </c>
      <c r="L79" s="41" t="s">
        <v>491</v>
      </c>
      <c r="M79" s="42">
        <v>46157</v>
      </c>
      <c r="N79" s="42">
        <v>46158</v>
      </c>
      <c r="O79" s="41" t="s">
        <v>504</v>
      </c>
      <c r="P79" s="41" t="s">
        <v>493</v>
      </c>
      <c r="Q79" s="42">
        <v>46145</v>
      </c>
      <c r="R79" s="42">
        <v>46140</v>
      </c>
      <c r="S79" s="42">
        <v>46157</v>
      </c>
      <c r="T79" s="42">
        <v>46157</v>
      </c>
      <c r="U79" s="42">
        <v>46157</v>
      </c>
      <c r="V79" s="41" t="s">
        <v>494</v>
      </c>
      <c r="W79" s="41" t="s">
        <v>494</v>
      </c>
      <c r="X79" s="43">
        <v>178.32</v>
      </c>
      <c r="Y79" s="43">
        <v>178.32</v>
      </c>
    </row>
    <row r="80" spans="1:25" x14ac:dyDescent="0.25">
      <c r="A80" s="41" t="s">
        <v>445</v>
      </c>
      <c r="B80" s="41" t="s">
        <v>52</v>
      </c>
      <c r="C80" s="41" t="s">
        <v>54</v>
      </c>
      <c r="D80" s="41" t="s">
        <v>833</v>
      </c>
      <c r="E80" s="41" t="s">
        <v>304</v>
      </c>
      <c r="F80" s="41" t="s">
        <v>445</v>
      </c>
      <c r="G80" s="41" t="s">
        <v>305</v>
      </c>
      <c r="H80" s="41" t="s">
        <v>450</v>
      </c>
      <c r="I80" s="41" t="s">
        <v>834</v>
      </c>
      <c r="J80" s="41" t="s">
        <v>835</v>
      </c>
      <c r="K80" s="41" t="s">
        <v>432</v>
      </c>
      <c r="L80" s="41" t="s">
        <v>498</v>
      </c>
      <c r="M80" s="42">
        <v>46157</v>
      </c>
      <c r="N80" s="42">
        <v>46157</v>
      </c>
      <c r="O80" s="41" t="s">
        <v>504</v>
      </c>
      <c r="P80" s="41" t="s">
        <v>493</v>
      </c>
      <c r="Q80" s="42">
        <v>46145</v>
      </c>
      <c r="R80" s="42">
        <v>46140</v>
      </c>
      <c r="S80" s="42">
        <v>46157</v>
      </c>
      <c r="T80" s="42">
        <v>46159</v>
      </c>
      <c r="U80" s="42">
        <v>46159</v>
      </c>
      <c r="V80" s="41" t="s">
        <v>494</v>
      </c>
      <c r="W80" s="41" t="s">
        <v>494</v>
      </c>
      <c r="X80" s="43">
        <v>178.12</v>
      </c>
      <c r="Y80" s="43">
        <v>178.12</v>
      </c>
    </row>
    <row r="81" spans="1:25" x14ac:dyDescent="0.25">
      <c r="A81" s="41" t="s">
        <v>836</v>
      </c>
      <c r="B81" s="41" t="s">
        <v>104</v>
      </c>
      <c r="C81" s="41" t="s">
        <v>157</v>
      </c>
      <c r="D81" s="41" t="s">
        <v>837</v>
      </c>
      <c r="E81" s="41" t="s">
        <v>159</v>
      </c>
      <c r="F81" s="41" t="s">
        <v>836</v>
      </c>
      <c r="G81" s="41" t="s">
        <v>160</v>
      </c>
      <c r="H81" s="41" t="s">
        <v>449</v>
      </c>
      <c r="I81" s="41" t="s">
        <v>838</v>
      </c>
      <c r="J81" s="41" t="s">
        <v>839</v>
      </c>
      <c r="K81" s="41" t="s">
        <v>840</v>
      </c>
      <c r="L81" s="41" t="s">
        <v>491</v>
      </c>
      <c r="M81" s="42">
        <v>46157</v>
      </c>
      <c r="N81" s="42">
        <v>46158</v>
      </c>
      <c r="O81" s="41" t="s">
        <v>841</v>
      </c>
      <c r="P81" s="41" t="s">
        <v>842</v>
      </c>
      <c r="Q81" s="42">
        <v>46157</v>
      </c>
      <c r="R81" s="42">
        <v>46157</v>
      </c>
      <c r="S81" s="42">
        <v>46157</v>
      </c>
      <c r="T81" s="42">
        <v>46157</v>
      </c>
      <c r="U81" s="41" t="s">
        <v>494</v>
      </c>
      <c r="V81" s="41" t="s">
        <v>494</v>
      </c>
      <c r="W81" s="41" t="s">
        <v>494</v>
      </c>
      <c r="X81" s="43">
        <v>0.7</v>
      </c>
      <c r="Y81" s="43">
        <v>4.7</v>
      </c>
    </row>
    <row r="82" spans="1:25" x14ac:dyDescent="0.25">
      <c r="A82" s="41" t="s">
        <v>445</v>
      </c>
      <c r="B82" s="41" t="s">
        <v>52</v>
      </c>
      <c r="C82" s="41" t="s">
        <v>54</v>
      </c>
      <c r="D82" s="41" t="s">
        <v>843</v>
      </c>
      <c r="E82" s="41" t="s">
        <v>292</v>
      </c>
      <c r="F82" s="41" t="s">
        <v>445</v>
      </c>
      <c r="G82" s="41" t="s">
        <v>293</v>
      </c>
      <c r="H82" s="41" t="s">
        <v>450</v>
      </c>
      <c r="I82" s="41" t="s">
        <v>844</v>
      </c>
      <c r="J82" s="41" t="s">
        <v>845</v>
      </c>
      <c r="K82" s="41" t="s">
        <v>512</v>
      </c>
      <c r="L82" s="41" t="s">
        <v>498</v>
      </c>
      <c r="M82" s="42">
        <v>46158</v>
      </c>
      <c r="N82" s="42">
        <v>46158</v>
      </c>
      <c r="O82" s="41" t="s">
        <v>504</v>
      </c>
      <c r="P82" s="41" t="s">
        <v>492</v>
      </c>
      <c r="Q82" s="42">
        <v>46015</v>
      </c>
      <c r="R82" s="42">
        <v>46013</v>
      </c>
      <c r="S82" s="42">
        <v>46158</v>
      </c>
      <c r="T82" s="42">
        <v>46156</v>
      </c>
      <c r="U82" s="42">
        <v>46159</v>
      </c>
      <c r="V82" s="41" t="s">
        <v>494</v>
      </c>
      <c r="W82" s="41" t="s">
        <v>494</v>
      </c>
      <c r="X82" s="43">
        <v>13677.89</v>
      </c>
      <c r="Y82" s="43">
        <v>13856.01</v>
      </c>
    </row>
    <row r="83" spans="1:25" x14ac:dyDescent="0.25">
      <c r="A83" s="41" t="s">
        <v>443</v>
      </c>
      <c r="B83" s="41" t="s">
        <v>52</v>
      </c>
      <c r="C83" s="41" t="s">
        <v>54</v>
      </c>
      <c r="D83" s="41" t="s">
        <v>846</v>
      </c>
      <c r="E83" s="41" t="s">
        <v>175</v>
      </c>
      <c r="F83" s="41" t="s">
        <v>443</v>
      </c>
      <c r="G83" s="41" t="s">
        <v>176</v>
      </c>
      <c r="H83" s="41" t="s">
        <v>444</v>
      </c>
      <c r="I83" s="41" t="s">
        <v>847</v>
      </c>
      <c r="J83" s="41" t="s">
        <v>848</v>
      </c>
      <c r="K83" s="41" t="s">
        <v>432</v>
      </c>
      <c r="L83" s="41" t="s">
        <v>498</v>
      </c>
      <c r="M83" s="42">
        <v>46158</v>
      </c>
      <c r="N83" s="42">
        <v>46158</v>
      </c>
      <c r="O83" s="41" t="s">
        <v>648</v>
      </c>
      <c r="P83" s="41" t="s">
        <v>544</v>
      </c>
      <c r="Q83" s="42">
        <v>46148</v>
      </c>
      <c r="R83" s="42">
        <v>46107</v>
      </c>
      <c r="S83" s="42">
        <v>46158</v>
      </c>
      <c r="T83" s="42">
        <v>46158</v>
      </c>
      <c r="U83" s="42">
        <v>46159</v>
      </c>
      <c r="V83" s="41" t="s">
        <v>494</v>
      </c>
      <c r="W83" s="41" t="s">
        <v>494</v>
      </c>
      <c r="X83" s="43">
        <v>1812.8</v>
      </c>
      <c r="Y83" s="43">
        <v>906.4</v>
      </c>
    </row>
    <row r="84" spans="1:25" x14ac:dyDescent="0.25">
      <c r="A84" s="41" t="s">
        <v>443</v>
      </c>
      <c r="B84" s="41" t="s">
        <v>52</v>
      </c>
      <c r="C84" s="41" t="s">
        <v>100</v>
      </c>
      <c r="D84" s="41" t="s">
        <v>849</v>
      </c>
      <c r="E84" s="41" t="s">
        <v>187</v>
      </c>
      <c r="F84" s="41" t="s">
        <v>443</v>
      </c>
      <c r="G84" s="41" t="s">
        <v>188</v>
      </c>
      <c r="H84" s="41" t="s">
        <v>444</v>
      </c>
      <c r="I84" s="41" t="s">
        <v>850</v>
      </c>
      <c r="J84" s="41" t="s">
        <v>851</v>
      </c>
      <c r="K84" s="41" t="s">
        <v>432</v>
      </c>
      <c r="L84" s="41" t="s">
        <v>498</v>
      </c>
      <c r="M84" s="42">
        <v>46158</v>
      </c>
      <c r="N84" s="42">
        <v>46159</v>
      </c>
      <c r="O84" s="41" t="s">
        <v>543</v>
      </c>
      <c r="P84" s="41" t="s">
        <v>544</v>
      </c>
      <c r="Q84" s="42">
        <v>46139</v>
      </c>
      <c r="R84" s="42">
        <v>46128</v>
      </c>
      <c r="S84" s="42">
        <v>46158</v>
      </c>
      <c r="T84" s="42">
        <v>46157</v>
      </c>
      <c r="U84" s="42">
        <v>46157</v>
      </c>
      <c r="V84" s="41" t="s">
        <v>852</v>
      </c>
      <c r="W84" s="41" t="s">
        <v>853</v>
      </c>
      <c r="X84" s="43">
        <v>988.8</v>
      </c>
      <c r="Y84" s="43">
        <v>988.8</v>
      </c>
    </row>
    <row r="85" spans="1:25" x14ac:dyDescent="0.25">
      <c r="A85" s="41" t="s">
        <v>443</v>
      </c>
      <c r="B85" s="41" t="s">
        <v>52</v>
      </c>
      <c r="C85" s="41" t="s">
        <v>100</v>
      </c>
      <c r="D85" s="41" t="s">
        <v>854</v>
      </c>
      <c r="E85" s="41" t="s">
        <v>190</v>
      </c>
      <c r="F85" s="41" t="s">
        <v>443</v>
      </c>
      <c r="G85" s="41" t="s">
        <v>191</v>
      </c>
      <c r="H85" s="41" t="s">
        <v>444</v>
      </c>
      <c r="I85" s="41" t="s">
        <v>855</v>
      </c>
      <c r="J85" s="41" t="s">
        <v>856</v>
      </c>
      <c r="K85" s="41" t="s">
        <v>432</v>
      </c>
      <c r="L85" s="41" t="s">
        <v>498</v>
      </c>
      <c r="M85" s="42">
        <v>46158</v>
      </c>
      <c r="N85" s="42">
        <v>46159</v>
      </c>
      <c r="O85" s="41" t="s">
        <v>543</v>
      </c>
      <c r="P85" s="41" t="s">
        <v>544</v>
      </c>
      <c r="Q85" s="42">
        <v>46139</v>
      </c>
      <c r="R85" s="42">
        <v>46128</v>
      </c>
      <c r="S85" s="42">
        <v>46158</v>
      </c>
      <c r="T85" s="42">
        <v>46158</v>
      </c>
      <c r="U85" s="42">
        <v>46159</v>
      </c>
      <c r="V85" s="41" t="s">
        <v>857</v>
      </c>
      <c r="W85" s="41" t="s">
        <v>858</v>
      </c>
      <c r="X85" s="43">
        <v>988.8</v>
      </c>
      <c r="Y85" s="43">
        <v>988.8</v>
      </c>
    </row>
    <row r="86" spans="1:25" x14ac:dyDescent="0.25">
      <c r="A86" s="41" t="s">
        <v>443</v>
      </c>
      <c r="B86" s="41" t="s">
        <v>52</v>
      </c>
      <c r="C86" s="41" t="s">
        <v>100</v>
      </c>
      <c r="D86" s="41" t="s">
        <v>859</v>
      </c>
      <c r="E86" s="41" t="s">
        <v>192</v>
      </c>
      <c r="F86" s="41" t="s">
        <v>443</v>
      </c>
      <c r="G86" s="41" t="s">
        <v>193</v>
      </c>
      <c r="H86" s="41" t="s">
        <v>444</v>
      </c>
      <c r="I86" s="41" t="s">
        <v>850</v>
      </c>
      <c r="J86" s="41" t="s">
        <v>851</v>
      </c>
      <c r="K86" s="41" t="s">
        <v>432</v>
      </c>
      <c r="L86" s="41" t="s">
        <v>498</v>
      </c>
      <c r="M86" s="42">
        <v>46158</v>
      </c>
      <c r="N86" s="42">
        <v>46158</v>
      </c>
      <c r="O86" s="41" t="s">
        <v>543</v>
      </c>
      <c r="P86" s="41" t="s">
        <v>544</v>
      </c>
      <c r="Q86" s="42">
        <v>46139</v>
      </c>
      <c r="R86" s="42">
        <v>46128</v>
      </c>
      <c r="S86" s="42">
        <v>46158</v>
      </c>
      <c r="T86" s="42">
        <v>46157</v>
      </c>
      <c r="U86" s="42">
        <v>46157</v>
      </c>
      <c r="V86" s="41" t="s">
        <v>860</v>
      </c>
      <c r="W86" s="41" t="s">
        <v>861</v>
      </c>
      <c r="X86" s="43">
        <v>247.2</v>
      </c>
      <c r="Y86" s="43">
        <v>247.2</v>
      </c>
    </row>
    <row r="87" spans="1:25" x14ac:dyDescent="0.25">
      <c r="A87" s="41" t="s">
        <v>443</v>
      </c>
      <c r="B87" s="41" t="s">
        <v>52</v>
      </c>
      <c r="C87" s="41" t="s">
        <v>100</v>
      </c>
      <c r="D87" s="41" t="s">
        <v>862</v>
      </c>
      <c r="E87" s="41" t="s">
        <v>195</v>
      </c>
      <c r="F87" s="41" t="s">
        <v>443</v>
      </c>
      <c r="G87" s="41" t="s">
        <v>196</v>
      </c>
      <c r="H87" s="41" t="s">
        <v>444</v>
      </c>
      <c r="I87" s="41" t="s">
        <v>855</v>
      </c>
      <c r="J87" s="41" t="s">
        <v>856</v>
      </c>
      <c r="K87" s="41" t="s">
        <v>432</v>
      </c>
      <c r="L87" s="41" t="s">
        <v>498</v>
      </c>
      <c r="M87" s="42">
        <v>46158</v>
      </c>
      <c r="N87" s="42">
        <v>46158</v>
      </c>
      <c r="O87" s="41" t="s">
        <v>543</v>
      </c>
      <c r="P87" s="41" t="s">
        <v>544</v>
      </c>
      <c r="Q87" s="42">
        <v>46139</v>
      </c>
      <c r="R87" s="42">
        <v>46128</v>
      </c>
      <c r="S87" s="42">
        <v>46158</v>
      </c>
      <c r="T87" s="42">
        <v>46158</v>
      </c>
      <c r="U87" s="42">
        <v>46159</v>
      </c>
      <c r="V87" s="41" t="s">
        <v>863</v>
      </c>
      <c r="W87" s="41" t="s">
        <v>864</v>
      </c>
      <c r="X87" s="43">
        <v>247.2</v>
      </c>
      <c r="Y87" s="43">
        <v>247.2</v>
      </c>
    </row>
    <row r="88" spans="1:25" x14ac:dyDescent="0.25">
      <c r="A88" s="41" t="s">
        <v>445</v>
      </c>
      <c r="B88" s="41" t="s">
        <v>52</v>
      </c>
      <c r="C88" s="41" t="s">
        <v>54</v>
      </c>
      <c r="D88" s="41" t="s">
        <v>865</v>
      </c>
      <c r="E88" s="41" t="s">
        <v>298</v>
      </c>
      <c r="F88" s="41" t="s">
        <v>445</v>
      </c>
      <c r="G88" s="41" t="s">
        <v>299</v>
      </c>
      <c r="H88" s="41" t="s">
        <v>450</v>
      </c>
      <c r="I88" s="41" t="s">
        <v>866</v>
      </c>
      <c r="J88" s="41" t="s">
        <v>867</v>
      </c>
      <c r="K88" s="41" t="s">
        <v>503</v>
      </c>
      <c r="L88" s="41" t="s">
        <v>491</v>
      </c>
      <c r="M88" s="42">
        <v>46158</v>
      </c>
      <c r="N88" s="42">
        <v>46159</v>
      </c>
      <c r="O88" s="41" t="s">
        <v>504</v>
      </c>
      <c r="P88" s="41" t="s">
        <v>563</v>
      </c>
      <c r="Q88" s="42">
        <v>46145</v>
      </c>
      <c r="R88" s="42">
        <v>46140</v>
      </c>
      <c r="S88" s="42">
        <v>46158</v>
      </c>
      <c r="T88" s="42">
        <v>46158</v>
      </c>
      <c r="U88" s="41" t="s">
        <v>494</v>
      </c>
      <c r="V88" s="41" t="s">
        <v>494</v>
      </c>
      <c r="W88" s="41" t="s">
        <v>494</v>
      </c>
      <c r="X88" s="43">
        <v>792.71</v>
      </c>
      <c r="Y88" s="43">
        <v>1398.39</v>
      </c>
    </row>
    <row r="89" spans="1:25" x14ac:dyDescent="0.25">
      <c r="A89" s="41" t="s">
        <v>445</v>
      </c>
      <c r="B89" s="41" t="s">
        <v>104</v>
      </c>
      <c r="C89" s="41" t="s">
        <v>106</v>
      </c>
      <c r="D89" s="41" t="s">
        <v>868</v>
      </c>
      <c r="E89" s="41" t="s">
        <v>341</v>
      </c>
      <c r="F89" s="41" t="s">
        <v>445</v>
      </c>
      <c r="G89" s="41" t="s">
        <v>342</v>
      </c>
      <c r="H89" s="41" t="s">
        <v>450</v>
      </c>
      <c r="I89" s="41" t="s">
        <v>576</v>
      </c>
      <c r="J89" s="41" t="s">
        <v>577</v>
      </c>
      <c r="K89" s="41" t="s">
        <v>869</v>
      </c>
      <c r="L89" s="41" t="s">
        <v>491</v>
      </c>
      <c r="M89" s="42">
        <v>46158</v>
      </c>
      <c r="N89" s="42">
        <v>46158</v>
      </c>
      <c r="O89" s="41" t="s">
        <v>492</v>
      </c>
      <c r="P89" s="41" t="s">
        <v>870</v>
      </c>
      <c r="Q89" s="42">
        <v>46158</v>
      </c>
      <c r="R89" s="42">
        <v>46156</v>
      </c>
      <c r="S89" s="42">
        <v>46158</v>
      </c>
      <c r="T89" s="42">
        <v>46157</v>
      </c>
      <c r="U89" s="42">
        <v>46157</v>
      </c>
      <c r="V89" s="41" t="s">
        <v>494</v>
      </c>
      <c r="W89" s="41" t="s">
        <v>494</v>
      </c>
      <c r="X89" s="43">
        <v>0.04</v>
      </c>
      <c r="Y89" s="43">
        <v>0.04</v>
      </c>
    </row>
    <row r="90" spans="1:25" x14ac:dyDescent="0.25">
      <c r="A90" s="41" t="s">
        <v>445</v>
      </c>
      <c r="B90" s="41" t="s">
        <v>104</v>
      </c>
      <c r="C90" s="41" t="s">
        <v>106</v>
      </c>
      <c r="D90" s="41" t="s">
        <v>871</v>
      </c>
      <c r="E90" s="41" t="s">
        <v>343</v>
      </c>
      <c r="F90" s="41" t="s">
        <v>445</v>
      </c>
      <c r="G90" s="41" t="s">
        <v>344</v>
      </c>
      <c r="H90" s="41" t="s">
        <v>450</v>
      </c>
      <c r="I90" s="41" t="s">
        <v>872</v>
      </c>
      <c r="J90" s="41" t="s">
        <v>873</v>
      </c>
      <c r="K90" s="41" t="s">
        <v>490</v>
      </c>
      <c r="L90" s="41" t="s">
        <v>491</v>
      </c>
      <c r="M90" s="42">
        <v>46158</v>
      </c>
      <c r="N90" s="42">
        <v>46158</v>
      </c>
      <c r="O90" s="41" t="s">
        <v>492</v>
      </c>
      <c r="P90" s="41" t="s">
        <v>493</v>
      </c>
      <c r="Q90" s="42">
        <v>46158</v>
      </c>
      <c r="R90" s="42">
        <v>46156</v>
      </c>
      <c r="S90" s="42">
        <v>46158</v>
      </c>
      <c r="T90" s="42">
        <v>46156</v>
      </c>
      <c r="U90" s="42">
        <v>46157</v>
      </c>
      <c r="V90" s="41" t="s">
        <v>494</v>
      </c>
      <c r="W90" s="41" t="s">
        <v>494</v>
      </c>
      <c r="X90" s="43">
        <v>0.04</v>
      </c>
      <c r="Y90" s="43">
        <v>0.04</v>
      </c>
    </row>
    <row r="91" spans="1:25" x14ac:dyDescent="0.25">
      <c r="A91" s="41" t="s">
        <v>443</v>
      </c>
      <c r="B91" s="41" t="s">
        <v>52</v>
      </c>
      <c r="C91" s="41" t="s">
        <v>54</v>
      </c>
      <c r="D91" s="41" t="s">
        <v>874</v>
      </c>
      <c r="E91" s="41" t="s">
        <v>209</v>
      </c>
      <c r="F91" s="41" t="s">
        <v>443</v>
      </c>
      <c r="G91" s="41" t="s">
        <v>210</v>
      </c>
      <c r="H91" s="41" t="s">
        <v>444</v>
      </c>
      <c r="I91" s="41" t="s">
        <v>875</v>
      </c>
      <c r="J91" s="41" t="s">
        <v>876</v>
      </c>
      <c r="K91" s="41" t="s">
        <v>432</v>
      </c>
      <c r="L91" s="41" t="s">
        <v>498</v>
      </c>
      <c r="M91" s="42">
        <v>46159</v>
      </c>
      <c r="N91" s="42">
        <v>46159</v>
      </c>
      <c r="O91" s="41" t="s">
        <v>648</v>
      </c>
      <c r="P91" s="41" t="s">
        <v>544</v>
      </c>
      <c r="Q91" s="42">
        <v>46148</v>
      </c>
      <c r="R91" s="42">
        <v>46084</v>
      </c>
      <c r="S91" s="42">
        <v>46159</v>
      </c>
      <c r="T91" s="42">
        <v>46159</v>
      </c>
      <c r="U91" s="42">
        <v>46159</v>
      </c>
      <c r="V91" s="41" t="s">
        <v>494</v>
      </c>
      <c r="W91" s="41" t="s">
        <v>494</v>
      </c>
      <c r="X91" s="43">
        <v>906.4</v>
      </c>
      <c r="Y91" s="43">
        <v>906.4</v>
      </c>
    </row>
    <row r="92" spans="1:25" x14ac:dyDescent="0.25">
      <c r="A92" s="41" t="s">
        <v>443</v>
      </c>
      <c r="B92" s="41" t="s">
        <v>52</v>
      </c>
      <c r="C92" s="41" t="s">
        <v>124</v>
      </c>
      <c r="D92" s="41" t="s">
        <v>877</v>
      </c>
      <c r="E92" s="41" t="s">
        <v>197</v>
      </c>
      <c r="F92" s="41" t="s">
        <v>443</v>
      </c>
      <c r="G92" s="41" t="s">
        <v>198</v>
      </c>
      <c r="H92" s="41" t="s">
        <v>444</v>
      </c>
      <c r="I92" s="41" t="s">
        <v>878</v>
      </c>
      <c r="J92" s="41" t="s">
        <v>879</v>
      </c>
      <c r="K92" s="41" t="s">
        <v>432</v>
      </c>
      <c r="L92" s="41" t="s">
        <v>498</v>
      </c>
      <c r="M92" s="42">
        <v>46159</v>
      </c>
      <c r="N92" s="42">
        <v>46159</v>
      </c>
      <c r="O92" s="41" t="s">
        <v>738</v>
      </c>
      <c r="P92" s="41" t="s">
        <v>544</v>
      </c>
      <c r="Q92" s="42">
        <v>46146</v>
      </c>
      <c r="R92" s="42">
        <v>46125</v>
      </c>
      <c r="S92" s="42">
        <v>46159</v>
      </c>
      <c r="T92" s="42">
        <v>46159</v>
      </c>
      <c r="U92" s="42">
        <v>46159</v>
      </c>
      <c r="V92" s="41" t="s">
        <v>880</v>
      </c>
      <c r="W92" s="41" t="s">
        <v>881</v>
      </c>
      <c r="X92" s="43">
        <v>164.8</v>
      </c>
      <c r="Y92" s="43">
        <v>164.8</v>
      </c>
    </row>
    <row r="93" spans="1:25" x14ac:dyDescent="0.25">
      <c r="A93" s="41" t="s">
        <v>443</v>
      </c>
      <c r="B93" s="41" t="s">
        <v>52</v>
      </c>
      <c r="C93" s="41" t="s">
        <v>124</v>
      </c>
      <c r="D93" s="41" t="s">
        <v>882</v>
      </c>
      <c r="E93" s="41" t="s">
        <v>200</v>
      </c>
      <c r="F93" s="41" t="s">
        <v>443</v>
      </c>
      <c r="G93" s="41" t="s">
        <v>201</v>
      </c>
      <c r="H93" s="41" t="s">
        <v>444</v>
      </c>
      <c r="I93" s="41" t="s">
        <v>883</v>
      </c>
      <c r="J93" s="41" t="s">
        <v>884</v>
      </c>
      <c r="K93" s="41" t="s">
        <v>432</v>
      </c>
      <c r="L93" s="41" t="s">
        <v>498</v>
      </c>
      <c r="M93" s="42">
        <v>46159</v>
      </c>
      <c r="N93" s="42">
        <v>46159</v>
      </c>
      <c r="O93" s="41" t="s">
        <v>817</v>
      </c>
      <c r="P93" s="41" t="s">
        <v>544</v>
      </c>
      <c r="Q93" s="42">
        <v>46146</v>
      </c>
      <c r="R93" s="42">
        <v>46130</v>
      </c>
      <c r="S93" s="42">
        <v>46159</v>
      </c>
      <c r="T93" s="42">
        <v>46159</v>
      </c>
      <c r="U93" s="42">
        <v>46159</v>
      </c>
      <c r="V93" s="41" t="s">
        <v>885</v>
      </c>
      <c r="W93" s="41" t="s">
        <v>886</v>
      </c>
      <c r="X93" s="43">
        <v>370.8</v>
      </c>
      <c r="Y93" s="43">
        <v>164.8</v>
      </c>
    </row>
    <row r="94" spans="1:25" x14ac:dyDescent="0.25">
      <c r="A94" s="41" t="s">
        <v>443</v>
      </c>
      <c r="B94" s="41" t="s">
        <v>52</v>
      </c>
      <c r="C94" s="41" t="s">
        <v>124</v>
      </c>
      <c r="D94" s="41" t="s">
        <v>887</v>
      </c>
      <c r="E94" s="41" t="s">
        <v>202</v>
      </c>
      <c r="F94" s="41" t="s">
        <v>443</v>
      </c>
      <c r="G94" s="41" t="s">
        <v>203</v>
      </c>
      <c r="H94" s="41" t="s">
        <v>444</v>
      </c>
      <c r="I94" s="41" t="s">
        <v>888</v>
      </c>
      <c r="J94" s="41" t="s">
        <v>889</v>
      </c>
      <c r="K94" s="41" t="s">
        <v>432</v>
      </c>
      <c r="L94" s="41" t="s">
        <v>498</v>
      </c>
      <c r="M94" s="42">
        <v>46159</v>
      </c>
      <c r="N94" s="42">
        <v>46159</v>
      </c>
      <c r="O94" s="41" t="s">
        <v>759</v>
      </c>
      <c r="P94" s="41" t="s">
        <v>544</v>
      </c>
      <c r="Q94" s="42">
        <v>46140</v>
      </c>
      <c r="R94" s="42">
        <v>46140</v>
      </c>
      <c r="S94" s="42">
        <v>46159</v>
      </c>
      <c r="T94" s="42">
        <v>46159</v>
      </c>
      <c r="U94" s="42">
        <v>46159</v>
      </c>
      <c r="V94" s="41" t="s">
        <v>890</v>
      </c>
      <c r="W94" s="41" t="s">
        <v>891</v>
      </c>
      <c r="X94" s="43">
        <v>164.8</v>
      </c>
      <c r="Y94" s="43">
        <v>164.8</v>
      </c>
    </row>
    <row r="95" spans="1:25" x14ac:dyDescent="0.25">
      <c r="A95" s="41" t="s">
        <v>443</v>
      </c>
      <c r="B95" s="41" t="s">
        <v>52</v>
      </c>
      <c r="C95" s="41" t="s">
        <v>124</v>
      </c>
      <c r="D95" s="41" t="s">
        <v>892</v>
      </c>
      <c r="E95" s="41" t="s">
        <v>205</v>
      </c>
      <c r="F95" s="41" t="s">
        <v>443</v>
      </c>
      <c r="G95" s="41" t="s">
        <v>206</v>
      </c>
      <c r="H95" s="41" t="s">
        <v>444</v>
      </c>
      <c r="I95" s="41" t="s">
        <v>878</v>
      </c>
      <c r="J95" s="41" t="s">
        <v>879</v>
      </c>
      <c r="K95" s="41" t="s">
        <v>432</v>
      </c>
      <c r="L95" s="41" t="s">
        <v>498</v>
      </c>
      <c r="M95" s="42">
        <v>46159</v>
      </c>
      <c r="N95" s="42">
        <v>46159</v>
      </c>
      <c r="O95" s="41" t="s">
        <v>893</v>
      </c>
      <c r="P95" s="41" t="s">
        <v>544</v>
      </c>
      <c r="Q95" s="42">
        <v>46146</v>
      </c>
      <c r="R95" s="42">
        <v>46144</v>
      </c>
      <c r="S95" s="42">
        <v>46159</v>
      </c>
      <c r="T95" s="42">
        <v>46159</v>
      </c>
      <c r="U95" s="42">
        <v>46159</v>
      </c>
      <c r="V95" s="41" t="s">
        <v>894</v>
      </c>
      <c r="W95" s="41" t="s">
        <v>895</v>
      </c>
      <c r="X95" s="43">
        <v>164.8</v>
      </c>
      <c r="Y95" s="43">
        <v>164.8</v>
      </c>
    </row>
    <row r="96" spans="1:25" x14ac:dyDescent="0.25">
      <c r="A96" s="41" t="s">
        <v>443</v>
      </c>
      <c r="B96" s="41" t="s">
        <v>52</v>
      </c>
      <c r="C96" s="41" t="s">
        <v>124</v>
      </c>
      <c r="D96" s="41" t="s">
        <v>896</v>
      </c>
      <c r="E96" s="41" t="s">
        <v>207</v>
      </c>
      <c r="F96" s="41" t="s">
        <v>443</v>
      </c>
      <c r="G96" s="41" t="s">
        <v>208</v>
      </c>
      <c r="H96" s="41" t="s">
        <v>444</v>
      </c>
      <c r="I96" s="41" t="s">
        <v>897</v>
      </c>
      <c r="J96" s="41" t="s">
        <v>898</v>
      </c>
      <c r="K96" s="41" t="s">
        <v>432</v>
      </c>
      <c r="L96" s="41" t="s">
        <v>498</v>
      </c>
      <c r="M96" s="42">
        <v>46159</v>
      </c>
      <c r="N96" s="42">
        <v>46159</v>
      </c>
      <c r="O96" s="41" t="s">
        <v>899</v>
      </c>
      <c r="P96" s="41" t="s">
        <v>544</v>
      </c>
      <c r="Q96" s="42">
        <v>46148</v>
      </c>
      <c r="R96" s="42">
        <v>46147</v>
      </c>
      <c r="S96" s="42">
        <v>46159</v>
      </c>
      <c r="T96" s="42">
        <v>46159</v>
      </c>
      <c r="U96" s="42">
        <v>46159</v>
      </c>
      <c r="V96" s="41" t="s">
        <v>900</v>
      </c>
      <c r="W96" s="41" t="s">
        <v>901</v>
      </c>
      <c r="X96" s="43">
        <v>164.8</v>
      </c>
      <c r="Y96" s="43">
        <v>164.8</v>
      </c>
    </row>
    <row r="97" spans="1:25" x14ac:dyDescent="0.25">
      <c r="A97" s="41" t="s">
        <v>445</v>
      </c>
      <c r="B97" s="41" t="s">
        <v>104</v>
      </c>
      <c r="C97" s="41" t="s">
        <v>106</v>
      </c>
      <c r="D97" s="41" t="s">
        <v>902</v>
      </c>
      <c r="E97" s="41" t="s">
        <v>345</v>
      </c>
      <c r="F97" s="41" t="s">
        <v>445</v>
      </c>
      <c r="G97" s="41" t="s">
        <v>346</v>
      </c>
      <c r="H97" s="41" t="s">
        <v>450</v>
      </c>
      <c r="I97" s="41" t="s">
        <v>903</v>
      </c>
      <c r="J97" s="41" t="s">
        <v>904</v>
      </c>
      <c r="K97" s="41" t="s">
        <v>490</v>
      </c>
      <c r="L97" s="41" t="s">
        <v>498</v>
      </c>
      <c r="M97" s="42">
        <v>46159</v>
      </c>
      <c r="N97" s="42">
        <v>46159</v>
      </c>
      <c r="O97" s="41" t="s">
        <v>563</v>
      </c>
      <c r="P97" s="41" t="s">
        <v>493</v>
      </c>
      <c r="Q97" s="42">
        <v>46158</v>
      </c>
      <c r="R97" s="42">
        <v>46158</v>
      </c>
      <c r="S97" s="42">
        <v>46159</v>
      </c>
      <c r="T97" s="42">
        <v>46158</v>
      </c>
      <c r="U97" s="42">
        <v>46158</v>
      </c>
      <c r="V97" s="41" t="s">
        <v>494</v>
      </c>
      <c r="W97" s="41" t="s">
        <v>494</v>
      </c>
      <c r="X97" s="43">
        <v>89.06</v>
      </c>
      <c r="Y97" s="43">
        <v>89.06</v>
      </c>
    </row>
    <row r="98" spans="1:25" x14ac:dyDescent="0.25">
      <c r="A98" s="41" t="s">
        <v>445</v>
      </c>
      <c r="B98" s="41" t="s">
        <v>104</v>
      </c>
      <c r="C98" s="41" t="s">
        <v>106</v>
      </c>
      <c r="D98" s="41" t="s">
        <v>905</v>
      </c>
      <c r="E98" s="41" t="s">
        <v>347</v>
      </c>
      <c r="F98" s="41" t="s">
        <v>445</v>
      </c>
      <c r="G98" s="41" t="s">
        <v>348</v>
      </c>
      <c r="H98" s="41" t="s">
        <v>450</v>
      </c>
      <c r="I98" s="41" t="s">
        <v>906</v>
      </c>
      <c r="J98" s="41" t="s">
        <v>907</v>
      </c>
      <c r="K98" s="41" t="s">
        <v>869</v>
      </c>
      <c r="L98" s="41" t="s">
        <v>498</v>
      </c>
      <c r="M98" s="42">
        <v>46159</v>
      </c>
      <c r="N98" s="42">
        <v>46159</v>
      </c>
      <c r="O98" s="41" t="s">
        <v>492</v>
      </c>
      <c r="P98" s="41" t="s">
        <v>870</v>
      </c>
      <c r="Q98" s="42">
        <v>46159</v>
      </c>
      <c r="R98" s="42">
        <v>46159</v>
      </c>
      <c r="S98" s="42">
        <v>46159</v>
      </c>
      <c r="T98" s="42">
        <v>46158</v>
      </c>
      <c r="U98" s="42">
        <v>46158</v>
      </c>
      <c r="V98" s="41" t="s">
        <v>494</v>
      </c>
      <c r="W98" s="41" t="s">
        <v>494</v>
      </c>
      <c r="X98" s="43">
        <v>89.08</v>
      </c>
      <c r="Y98" s="43">
        <v>89.08</v>
      </c>
    </row>
    <row r="99" spans="1:25" x14ac:dyDescent="0.25">
      <c r="A99" s="41" t="s">
        <v>445</v>
      </c>
      <c r="B99" s="41" t="s">
        <v>104</v>
      </c>
      <c r="C99" s="41" t="s">
        <v>106</v>
      </c>
      <c r="D99" s="41" t="s">
        <v>908</v>
      </c>
      <c r="E99" s="41" t="s">
        <v>312</v>
      </c>
      <c r="F99" s="41" t="s">
        <v>445</v>
      </c>
      <c r="G99" s="41" t="s">
        <v>313</v>
      </c>
      <c r="H99" s="41" t="s">
        <v>450</v>
      </c>
      <c r="I99" s="41" t="s">
        <v>909</v>
      </c>
      <c r="J99" s="41" t="s">
        <v>910</v>
      </c>
      <c r="K99" s="41" t="s">
        <v>490</v>
      </c>
      <c r="L99" s="41" t="s">
        <v>491</v>
      </c>
      <c r="M99" s="42">
        <v>46160</v>
      </c>
      <c r="N99" s="42">
        <v>46160</v>
      </c>
      <c r="O99" s="41" t="s">
        <v>504</v>
      </c>
      <c r="P99" s="41" t="s">
        <v>493</v>
      </c>
      <c r="Q99" s="42">
        <v>46070</v>
      </c>
      <c r="R99" s="42">
        <v>46070</v>
      </c>
      <c r="S99" s="42">
        <v>46160</v>
      </c>
      <c r="T99" s="42">
        <v>46154</v>
      </c>
      <c r="U99" s="42">
        <v>46154</v>
      </c>
      <c r="V99" s="41" t="s">
        <v>494</v>
      </c>
      <c r="W99" s="41" t="s">
        <v>494</v>
      </c>
      <c r="X99" s="43">
        <v>0.02</v>
      </c>
      <c r="Y99" s="43">
        <v>0.02</v>
      </c>
    </row>
    <row r="100" spans="1:25" x14ac:dyDescent="0.25">
      <c r="A100" s="41" t="s">
        <v>445</v>
      </c>
      <c r="B100" s="41" t="s">
        <v>52</v>
      </c>
      <c r="C100" s="41" t="s">
        <v>100</v>
      </c>
      <c r="D100" s="41" t="s">
        <v>911</v>
      </c>
      <c r="E100" s="41" t="s">
        <v>269</v>
      </c>
      <c r="F100" s="41" t="s">
        <v>445</v>
      </c>
      <c r="G100" s="41" t="s">
        <v>270</v>
      </c>
      <c r="H100" s="41" t="s">
        <v>450</v>
      </c>
      <c r="I100" s="41" t="s">
        <v>866</v>
      </c>
      <c r="J100" s="41" t="s">
        <v>867</v>
      </c>
      <c r="K100" s="41" t="s">
        <v>51</v>
      </c>
      <c r="L100" s="41" t="s">
        <v>491</v>
      </c>
      <c r="M100" s="42">
        <v>46160</v>
      </c>
      <c r="N100" s="42">
        <v>46162</v>
      </c>
      <c r="O100" s="41" t="s">
        <v>504</v>
      </c>
      <c r="P100" s="41" t="s">
        <v>504</v>
      </c>
      <c r="Q100" s="42">
        <v>46148</v>
      </c>
      <c r="R100" s="42">
        <v>46148</v>
      </c>
      <c r="S100" s="42">
        <v>46160</v>
      </c>
      <c r="T100" s="42">
        <v>46159</v>
      </c>
      <c r="U100" s="41" t="s">
        <v>494</v>
      </c>
      <c r="V100" s="41" t="s">
        <v>912</v>
      </c>
      <c r="W100" s="41" t="s">
        <v>913</v>
      </c>
      <c r="X100" s="43">
        <v>14415.86</v>
      </c>
      <c r="Y100" s="43">
        <v>19715.27</v>
      </c>
    </row>
    <row r="101" spans="1:25" x14ac:dyDescent="0.25">
      <c r="A101" s="41" t="s">
        <v>445</v>
      </c>
      <c r="B101" s="41" t="s">
        <v>104</v>
      </c>
      <c r="C101" s="41" t="s">
        <v>106</v>
      </c>
      <c r="D101" s="41" t="s">
        <v>914</v>
      </c>
      <c r="E101" s="41" t="s">
        <v>350</v>
      </c>
      <c r="F101" s="41" t="s">
        <v>445</v>
      </c>
      <c r="G101" s="41" t="s">
        <v>351</v>
      </c>
      <c r="H101" s="41" t="s">
        <v>450</v>
      </c>
      <c r="I101" s="41" t="s">
        <v>915</v>
      </c>
      <c r="J101" s="41" t="s">
        <v>916</v>
      </c>
      <c r="K101" s="41" t="s">
        <v>917</v>
      </c>
      <c r="L101" s="41" t="s">
        <v>491</v>
      </c>
      <c r="M101" s="42">
        <v>46160</v>
      </c>
      <c r="N101" s="42">
        <v>46160</v>
      </c>
      <c r="O101" s="41" t="s">
        <v>492</v>
      </c>
      <c r="P101" s="41" t="s">
        <v>870</v>
      </c>
      <c r="Q101" s="42">
        <v>46159</v>
      </c>
      <c r="R101" s="42">
        <v>46159</v>
      </c>
      <c r="S101" s="42">
        <v>46160</v>
      </c>
      <c r="T101" s="42">
        <v>46159</v>
      </c>
      <c r="U101" s="41" t="s">
        <v>494</v>
      </c>
      <c r="V101" s="41" t="s">
        <v>494</v>
      </c>
      <c r="W101" s="41" t="s">
        <v>494</v>
      </c>
      <c r="X101" s="43">
        <v>133.59</v>
      </c>
      <c r="Y101" s="43">
        <v>133.61000000000001</v>
      </c>
    </row>
    <row r="102" spans="1:25" x14ac:dyDescent="0.25">
      <c r="A102" s="44" t="s">
        <v>494</v>
      </c>
      <c r="B102" s="44" t="s">
        <v>494</v>
      </c>
      <c r="C102" s="44" t="s">
        <v>494</v>
      </c>
      <c r="D102" s="44" t="s">
        <v>494</v>
      </c>
      <c r="E102" s="44" t="s">
        <v>494</v>
      </c>
      <c r="F102" s="44"/>
      <c r="G102" s="44" t="s">
        <v>494</v>
      </c>
      <c r="H102" s="44" t="s">
        <v>494</v>
      </c>
      <c r="I102" s="44" t="s">
        <v>494</v>
      </c>
      <c r="J102" s="44" t="s">
        <v>494</v>
      </c>
      <c r="K102" s="44" t="s">
        <v>494</v>
      </c>
      <c r="L102" s="44" t="s">
        <v>494</v>
      </c>
      <c r="M102" s="44" t="s">
        <v>494</v>
      </c>
      <c r="N102" s="44" t="s">
        <v>494</v>
      </c>
      <c r="O102" s="44" t="s">
        <v>494</v>
      </c>
      <c r="P102" s="44" t="s">
        <v>494</v>
      </c>
      <c r="Q102" s="44" t="s">
        <v>494</v>
      </c>
      <c r="R102" s="44" t="s">
        <v>494</v>
      </c>
      <c r="S102" s="44" t="s">
        <v>494</v>
      </c>
      <c r="T102" s="44" t="s">
        <v>494</v>
      </c>
      <c r="U102" s="44" t="s">
        <v>494</v>
      </c>
      <c r="V102" s="44" t="s">
        <v>494</v>
      </c>
      <c r="W102" s="44" t="s">
        <v>494</v>
      </c>
      <c r="X102" s="45">
        <v>318862.24</v>
      </c>
      <c r="Y102" s="44" t="s">
        <v>494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3451-ABDD-4A39-85CF-63C4088C2AF5}">
  <dimension ref="A1:H48"/>
  <sheetViews>
    <sheetView topLeftCell="A16" workbookViewId="0">
      <selection activeCell="G44" sqref="G44"/>
    </sheetView>
  </sheetViews>
  <sheetFormatPr baseColWidth="10" defaultRowHeight="15" x14ac:dyDescent="0.25"/>
  <cols>
    <col min="1" max="1" width="39.28515625" bestFit="1" customWidth="1"/>
    <col min="3" max="3" width="18.28515625" bestFit="1" customWidth="1"/>
    <col min="4" max="5" width="12" bestFit="1" customWidth="1"/>
    <col min="6" max="6" width="12.42578125" bestFit="1" customWidth="1"/>
    <col min="7" max="7" width="15.42578125" bestFit="1" customWidth="1"/>
    <col min="8" max="8" width="13.42578125" bestFit="1" customWidth="1"/>
  </cols>
  <sheetData>
    <row r="1" spans="1:4" x14ac:dyDescent="0.25">
      <c r="A1" s="46" t="s">
        <v>923</v>
      </c>
    </row>
    <row r="2" spans="1:4" x14ac:dyDescent="0.25">
      <c r="A2" s="57" t="s">
        <v>2</v>
      </c>
      <c r="B2" s="58" t="s">
        <v>456</v>
      </c>
      <c r="C2" s="58" t="s">
        <v>9</v>
      </c>
      <c r="D2" s="47" t="s">
        <v>924</v>
      </c>
    </row>
    <row r="3" spans="1:4" x14ac:dyDescent="0.25">
      <c r="A3" t="s">
        <v>15</v>
      </c>
      <c r="B3" t="s">
        <v>443</v>
      </c>
      <c r="C3" t="s">
        <v>22</v>
      </c>
      <c r="D3" s="48">
        <v>7</v>
      </c>
    </row>
    <row r="4" spans="1:4" x14ac:dyDescent="0.25">
      <c r="A4" t="s">
        <v>925</v>
      </c>
      <c r="D4" s="48">
        <v>7</v>
      </c>
    </row>
    <row r="5" spans="1:4" x14ac:dyDescent="0.25">
      <c r="D5" s="48"/>
    </row>
    <row r="7" spans="1:4" x14ac:dyDescent="0.25">
      <c r="A7" s="46" t="s">
        <v>926</v>
      </c>
    </row>
    <row r="8" spans="1:4" x14ac:dyDescent="0.25">
      <c r="A8" s="57" t="s">
        <v>2</v>
      </c>
      <c r="B8" s="57" t="s">
        <v>457</v>
      </c>
      <c r="C8" s="57" t="s">
        <v>9</v>
      </c>
      <c r="D8" s="47" t="s">
        <v>927</v>
      </c>
    </row>
    <row r="9" spans="1:4" x14ac:dyDescent="0.25">
      <c r="A9" t="s">
        <v>47</v>
      </c>
      <c r="B9" t="s">
        <v>445</v>
      </c>
      <c r="C9" t="s">
        <v>46</v>
      </c>
      <c r="D9" s="48">
        <v>5</v>
      </c>
    </row>
    <row r="10" spans="1:4" x14ac:dyDescent="0.25">
      <c r="A10" t="s">
        <v>94</v>
      </c>
      <c r="B10" t="s">
        <v>447</v>
      </c>
      <c r="C10" t="s">
        <v>79</v>
      </c>
      <c r="D10" s="48">
        <v>2</v>
      </c>
    </row>
    <row r="11" spans="1:4" x14ac:dyDescent="0.25">
      <c r="B11" t="s">
        <v>443</v>
      </c>
      <c r="C11" t="s">
        <v>22</v>
      </c>
      <c r="D11" s="48">
        <v>4</v>
      </c>
    </row>
    <row r="12" spans="1:4" x14ac:dyDescent="0.25">
      <c r="A12" t="s">
        <v>71</v>
      </c>
      <c r="B12" t="s">
        <v>447</v>
      </c>
      <c r="C12" t="s">
        <v>79</v>
      </c>
      <c r="D12" s="48">
        <v>5</v>
      </c>
    </row>
    <row r="13" spans="1:4" x14ac:dyDescent="0.25">
      <c r="B13" t="s">
        <v>446</v>
      </c>
      <c r="C13" t="s">
        <v>70</v>
      </c>
      <c r="D13" s="48">
        <v>1</v>
      </c>
    </row>
    <row r="14" spans="1:4" x14ac:dyDescent="0.25">
      <c r="B14" t="s">
        <v>448</v>
      </c>
      <c r="C14" t="s">
        <v>140</v>
      </c>
      <c r="D14" s="48">
        <v>3</v>
      </c>
    </row>
    <row r="15" spans="1:4" x14ac:dyDescent="0.25">
      <c r="A15" t="s">
        <v>15</v>
      </c>
      <c r="B15" t="s">
        <v>443</v>
      </c>
      <c r="C15" t="s">
        <v>22</v>
      </c>
      <c r="D15" s="48">
        <v>9</v>
      </c>
    </row>
    <row r="16" spans="1:4" x14ac:dyDescent="0.25">
      <c r="A16" t="s">
        <v>925</v>
      </c>
      <c r="D16" s="48">
        <v>29</v>
      </c>
    </row>
    <row r="17" spans="1:8" x14ac:dyDescent="0.25">
      <c r="D17" s="48"/>
    </row>
    <row r="19" spans="1:8" x14ac:dyDescent="0.25">
      <c r="A19" s="49" t="s">
        <v>928</v>
      </c>
      <c r="B19" s="47"/>
      <c r="C19" s="47"/>
      <c r="D19" s="47"/>
      <c r="E19" s="47"/>
      <c r="F19" s="47"/>
    </row>
    <row r="20" spans="1:8" x14ac:dyDescent="0.25">
      <c r="A20" s="57" t="s">
        <v>929</v>
      </c>
      <c r="D20" s="58" t="s">
        <v>453</v>
      </c>
      <c r="E20" s="47"/>
      <c r="F20" s="47"/>
      <c r="G20" s="47"/>
      <c r="H20" s="50"/>
    </row>
    <row r="21" spans="1:8" x14ac:dyDescent="0.25">
      <c r="A21" s="57" t="s">
        <v>2</v>
      </c>
      <c r="B21" s="57" t="s">
        <v>451</v>
      </c>
      <c r="C21" s="57" t="s">
        <v>452</v>
      </c>
      <c r="D21" s="47" t="s">
        <v>464</v>
      </c>
      <c r="E21" s="47" t="s">
        <v>462</v>
      </c>
      <c r="F21" s="47" t="s">
        <v>463</v>
      </c>
      <c r="G21" s="47" t="s">
        <v>925</v>
      </c>
      <c r="H21" s="51" t="s">
        <v>930</v>
      </c>
    </row>
    <row r="22" spans="1:8" x14ac:dyDescent="0.25">
      <c r="A22" t="s">
        <v>15</v>
      </c>
      <c r="B22" t="s">
        <v>443</v>
      </c>
      <c r="C22" t="s">
        <v>22</v>
      </c>
      <c r="D22" s="52">
        <v>463</v>
      </c>
      <c r="E22" s="52"/>
      <c r="F22" s="52">
        <v>10</v>
      </c>
      <c r="G22" s="52">
        <v>473</v>
      </c>
      <c r="H22" s="53">
        <f>D22/G22</f>
        <v>0.97885835095137419</v>
      </c>
    </row>
    <row r="23" spans="1:8" x14ac:dyDescent="0.25">
      <c r="A23" t="s">
        <v>47</v>
      </c>
      <c r="B23" t="s">
        <v>445</v>
      </c>
      <c r="C23" t="s">
        <v>46</v>
      </c>
      <c r="D23" s="52">
        <v>756.0999999999998</v>
      </c>
      <c r="E23" s="52">
        <v>14</v>
      </c>
      <c r="F23" s="52">
        <v>47.5</v>
      </c>
      <c r="G23" s="52">
        <v>817.5999999999998</v>
      </c>
      <c r="H23" s="53">
        <f t="shared" ref="H23:H26" si="0">D23/G23</f>
        <v>0.92477984344422703</v>
      </c>
    </row>
    <row r="24" spans="1:8" x14ac:dyDescent="0.25">
      <c r="A24" t="s">
        <v>94</v>
      </c>
      <c r="B24" t="s">
        <v>443</v>
      </c>
      <c r="C24" t="s">
        <v>22</v>
      </c>
      <c r="D24" s="52">
        <v>56</v>
      </c>
      <c r="E24" s="52"/>
      <c r="F24" s="52"/>
      <c r="G24" s="52">
        <v>56</v>
      </c>
      <c r="H24" s="53">
        <f t="shared" si="0"/>
        <v>1</v>
      </c>
    </row>
    <row r="25" spans="1:8" x14ac:dyDescent="0.25">
      <c r="B25" t="s">
        <v>445</v>
      </c>
      <c r="C25" t="s">
        <v>46</v>
      </c>
      <c r="D25" s="52">
        <v>29.5</v>
      </c>
      <c r="E25" s="52"/>
      <c r="F25" s="52"/>
      <c r="G25" s="52">
        <v>29.5</v>
      </c>
      <c r="H25" s="53">
        <f t="shared" si="0"/>
        <v>1</v>
      </c>
    </row>
    <row r="26" spans="1:8" ht="15.75" thickBot="1" x14ac:dyDescent="0.3">
      <c r="A26" t="s">
        <v>71</v>
      </c>
      <c r="B26" t="s">
        <v>836</v>
      </c>
      <c r="C26" t="s">
        <v>935</v>
      </c>
      <c r="D26" s="52"/>
      <c r="E26" s="52"/>
      <c r="F26" s="52">
        <v>70</v>
      </c>
      <c r="G26" s="52">
        <v>70</v>
      </c>
      <c r="H26" s="53">
        <f t="shared" si="0"/>
        <v>0</v>
      </c>
    </row>
    <row r="27" spans="1:8" ht="15.75" thickTop="1" x14ac:dyDescent="0.25">
      <c r="A27" t="s">
        <v>925</v>
      </c>
      <c r="D27" s="52">
        <v>1304.5999999999999</v>
      </c>
      <c r="E27" s="52">
        <v>14</v>
      </c>
      <c r="F27" s="52">
        <v>127.5</v>
      </c>
      <c r="G27" s="52">
        <v>1446.1</v>
      </c>
      <c r="H27" s="54">
        <f>D27/G27</f>
        <v>0.90215061199087199</v>
      </c>
    </row>
    <row r="28" spans="1:8" x14ac:dyDescent="0.25">
      <c r="H28" s="55"/>
    </row>
    <row r="30" spans="1:8" x14ac:dyDescent="0.25">
      <c r="A30" s="46" t="s">
        <v>931</v>
      </c>
      <c r="B30" s="47"/>
      <c r="C30" s="47"/>
      <c r="D30" s="47"/>
      <c r="E30" s="47"/>
      <c r="F30" s="47"/>
    </row>
    <row r="31" spans="1:8" x14ac:dyDescent="0.25">
      <c r="A31" s="57" t="s">
        <v>932</v>
      </c>
      <c r="D31" s="58" t="s">
        <v>453</v>
      </c>
      <c r="E31" s="47"/>
      <c r="F31" s="47"/>
      <c r="G31" s="50"/>
    </row>
    <row r="32" spans="1:8" x14ac:dyDescent="0.25">
      <c r="A32" s="57" t="s">
        <v>2</v>
      </c>
      <c r="B32" s="57" t="s">
        <v>465</v>
      </c>
      <c r="C32" s="57" t="s">
        <v>9</v>
      </c>
      <c r="D32" s="47" t="s">
        <v>921</v>
      </c>
      <c r="E32" s="47" t="s">
        <v>922</v>
      </c>
      <c r="F32" s="47" t="s">
        <v>925</v>
      </c>
      <c r="G32" s="51" t="s">
        <v>933</v>
      </c>
    </row>
    <row r="33" spans="1:7" x14ac:dyDescent="0.25">
      <c r="A33" t="s">
        <v>15</v>
      </c>
      <c r="B33" t="s">
        <v>443</v>
      </c>
      <c r="C33" t="s">
        <v>22</v>
      </c>
      <c r="D33" s="52">
        <v>42</v>
      </c>
      <c r="E33" s="52">
        <v>15</v>
      </c>
      <c r="F33" s="52">
        <v>57</v>
      </c>
      <c r="G33" s="53">
        <f>D33/F33</f>
        <v>0.73684210526315785</v>
      </c>
    </row>
    <row r="34" spans="1:7" x14ac:dyDescent="0.25">
      <c r="A34" t="s">
        <v>47</v>
      </c>
      <c r="B34" t="s">
        <v>445</v>
      </c>
      <c r="C34" t="s">
        <v>46</v>
      </c>
      <c r="D34" s="52">
        <v>244</v>
      </c>
      <c r="E34" s="52">
        <v>41</v>
      </c>
      <c r="F34" s="52">
        <v>285</v>
      </c>
      <c r="G34" s="53">
        <v>0.88070000000000004</v>
      </c>
    </row>
    <row r="35" spans="1:7" x14ac:dyDescent="0.25">
      <c r="A35" t="s">
        <v>94</v>
      </c>
      <c r="B35" t="s">
        <v>443</v>
      </c>
      <c r="C35" t="s">
        <v>22</v>
      </c>
      <c r="D35" s="52">
        <v>16</v>
      </c>
      <c r="E35" s="52"/>
      <c r="F35" s="52">
        <v>16</v>
      </c>
      <c r="G35" s="53">
        <f t="shared" ref="G35" si="1">D35/F35</f>
        <v>1</v>
      </c>
    </row>
    <row r="36" spans="1:7" ht="15.75" thickBot="1" x14ac:dyDescent="0.3">
      <c r="B36" t="s">
        <v>445</v>
      </c>
      <c r="C36" t="s">
        <v>46</v>
      </c>
      <c r="D36" s="52">
        <v>13</v>
      </c>
      <c r="E36" s="52">
        <v>20</v>
      </c>
      <c r="F36" s="52">
        <v>33</v>
      </c>
      <c r="G36" s="53">
        <f>D36/F36</f>
        <v>0.39393939393939392</v>
      </c>
    </row>
    <row r="37" spans="1:7" ht="15.75" thickTop="1" x14ac:dyDescent="0.25">
      <c r="A37" t="s">
        <v>925</v>
      </c>
      <c r="D37" s="52">
        <v>315</v>
      </c>
      <c r="E37" s="52">
        <v>76</v>
      </c>
      <c r="F37" s="52">
        <v>391</v>
      </c>
      <c r="G37" s="54">
        <v>0.82350000000000001</v>
      </c>
    </row>
    <row r="38" spans="1:7" x14ac:dyDescent="0.25">
      <c r="G38" s="59"/>
    </row>
    <row r="40" spans="1:7" x14ac:dyDescent="0.25">
      <c r="A40" s="49" t="s">
        <v>426</v>
      </c>
      <c r="B40" s="47"/>
      <c r="C40" s="47"/>
      <c r="D40" s="47"/>
      <c r="E40" s="47"/>
      <c r="F40" s="47"/>
    </row>
    <row r="41" spans="1:7" x14ac:dyDescent="0.25">
      <c r="A41" s="57" t="s">
        <v>934</v>
      </c>
      <c r="D41" s="58" t="s">
        <v>453</v>
      </c>
      <c r="E41" s="47"/>
      <c r="F41" s="47"/>
      <c r="G41" s="50"/>
    </row>
    <row r="42" spans="1:7" x14ac:dyDescent="0.25">
      <c r="A42" s="57" t="s">
        <v>2</v>
      </c>
      <c r="B42" s="57" t="s">
        <v>465</v>
      </c>
      <c r="C42" s="57" t="s">
        <v>9</v>
      </c>
      <c r="D42" s="47" t="s">
        <v>921</v>
      </c>
      <c r="E42" s="47" t="s">
        <v>922</v>
      </c>
      <c r="F42" s="47" t="s">
        <v>925</v>
      </c>
      <c r="G42" s="51" t="s">
        <v>933</v>
      </c>
    </row>
    <row r="43" spans="1:7" x14ac:dyDescent="0.25">
      <c r="A43" t="s">
        <v>15</v>
      </c>
      <c r="B43" t="s">
        <v>443</v>
      </c>
      <c r="C43" t="s">
        <v>22</v>
      </c>
      <c r="D43" s="52">
        <v>12</v>
      </c>
      <c r="E43" s="52">
        <v>20</v>
      </c>
      <c r="F43" s="52">
        <v>32</v>
      </c>
      <c r="G43" s="53">
        <f>D43/F43</f>
        <v>0.375</v>
      </c>
    </row>
    <row r="44" spans="1:7" x14ac:dyDescent="0.25">
      <c r="A44" t="s">
        <v>47</v>
      </c>
      <c r="B44" t="s">
        <v>445</v>
      </c>
      <c r="C44" t="s">
        <v>46</v>
      </c>
      <c r="D44" s="52">
        <v>154</v>
      </c>
      <c r="E44" s="52">
        <v>46</v>
      </c>
      <c r="F44" s="52">
        <v>200</v>
      </c>
      <c r="G44" s="53">
        <v>0.93500000000000005</v>
      </c>
    </row>
    <row r="45" spans="1:7" x14ac:dyDescent="0.25">
      <c r="A45" t="s">
        <v>94</v>
      </c>
      <c r="B45" t="s">
        <v>443</v>
      </c>
      <c r="C45" t="s">
        <v>22</v>
      </c>
      <c r="D45" s="52">
        <v>16</v>
      </c>
      <c r="E45" s="52"/>
      <c r="F45" s="52">
        <v>16</v>
      </c>
      <c r="G45" s="53">
        <f t="shared" ref="G45:G47" si="2">D45/F45</f>
        <v>1</v>
      </c>
    </row>
    <row r="46" spans="1:7" x14ac:dyDescent="0.25">
      <c r="B46" t="s">
        <v>445</v>
      </c>
      <c r="C46" t="s">
        <v>46</v>
      </c>
      <c r="D46" s="52">
        <v>2</v>
      </c>
      <c r="E46" s="52"/>
      <c r="F46" s="52">
        <v>2</v>
      </c>
      <c r="G46" s="53">
        <f t="shared" si="2"/>
        <v>1</v>
      </c>
    </row>
    <row r="47" spans="1:7" ht="15.75" thickBot="1" x14ac:dyDescent="0.3">
      <c r="B47" t="s">
        <v>447</v>
      </c>
      <c r="C47" t="s">
        <v>79</v>
      </c>
      <c r="D47" s="52"/>
      <c r="E47" s="52">
        <v>27</v>
      </c>
      <c r="F47" s="52">
        <v>27</v>
      </c>
      <c r="G47" s="53">
        <f t="shared" si="2"/>
        <v>0</v>
      </c>
    </row>
    <row r="48" spans="1:7" ht="15.75" thickTop="1" x14ac:dyDescent="0.25">
      <c r="A48" s="56" t="s">
        <v>925</v>
      </c>
      <c r="B48" s="56"/>
      <c r="C48" s="56"/>
      <c r="D48" s="52">
        <v>184</v>
      </c>
      <c r="E48" s="52">
        <v>93</v>
      </c>
      <c r="F48" s="52">
        <v>277</v>
      </c>
      <c r="G48" s="54">
        <v>0.78339999999999999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CAAD-4615-4D01-B424-A3CD00F6F143}">
  <dimension ref="A1:Q9"/>
  <sheetViews>
    <sheetView topLeftCell="D1" workbookViewId="0">
      <selection sqref="A1:Q1"/>
    </sheetView>
  </sheetViews>
  <sheetFormatPr baseColWidth="10" defaultRowHeight="15" x14ac:dyDescent="0.25"/>
  <cols>
    <col min="1" max="1" width="31.140625" customWidth="1"/>
    <col min="2" max="2" width="22.140625" customWidth="1"/>
    <col min="3" max="3" width="23.85546875" customWidth="1"/>
    <col min="4" max="4" width="12.7109375" customWidth="1"/>
    <col min="5" max="5" width="7.85546875" customWidth="1"/>
    <col min="6" max="6" width="33.140625" customWidth="1"/>
    <col min="7" max="7" width="14.5703125" customWidth="1"/>
    <col min="8" max="8" width="10.28515625" customWidth="1"/>
    <col min="9" max="9" width="17.42578125" customWidth="1"/>
    <col min="10" max="10" width="15.42578125" customWidth="1"/>
    <col min="11" max="11" width="12.85546875" customWidth="1"/>
    <col min="12" max="12" width="11" customWidth="1"/>
    <col min="13" max="13" width="20.42578125" customWidth="1"/>
    <col min="14" max="14" width="12.5703125" customWidth="1"/>
    <col min="15" max="15" width="29.85546875" customWidth="1"/>
    <col min="16" max="16" width="13.140625" customWidth="1"/>
    <col min="17" max="17" width="26.85546875" customWidth="1"/>
  </cols>
  <sheetData>
    <row r="1" spans="1:17" ht="15.75" thickBot="1" x14ac:dyDescent="0.3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455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456</v>
      </c>
      <c r="M1" s="35" t="s">
        <v>10</v>
      </c>
      <c r="N1" s="35" t="s">
        <v>454</v>
      </c>
      <c r="O1" s="35" t="s">
        <v>11</v>
      </c>
      <c r="P1" s="35" t="s">
        <v>442</v>
      </c>
      <c r="Q1" s="35" t="s">
        <v>12</v>
      </c>
    </row>
    <row r="2" spans="1:17" ht="15.75" thickBot="1" x14ac:dyDescent="0.3">
      <c r="A2" s="18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3">
        <v>46140</v>
      </c>
      <c r="K2" s="1" t="s">
        <v>22</v>
      </c>
      <c r="L2" s="1" t="s">
        <v>443</v>
      </c>
      <c r="M2" s="1" t="s">
        <v>23</v>
      </c>
      <c r="N2" s="1" t="s">
        <v>24</v>
      </c>
      <c r="O2" s="1" t="s">
        <v>25</v>
      </c>
      <c r="P2" s="1" t="s">
        <v>444</v>
      </c>
      <c r="Q2" s="19">
        <v>1</v>
      </c>
    </row>
    <row r="3" spans="1:17" ht="15.75" thickBot="1" x14ac:dyDescent="0.3">
      <c r="A3" s="18" t="s">
        <v>13</v>
      </c>
      <c r="B3" s="1" t="s">
        <v>14</v>
      </c>
      <c r="C3" s="1" t="s">
        <v>15</v>
      </c>
      <c r="D3" s="1" t="s">
        <v>16</v>
      </c>
      <c r="E3" s="1" t="s">
        <v>26</v>
      </c>
      <c r="F3" s="1" t="s">
        <v>27</v>
      </c>
      <c r="G3" s="1" t="s">
        <v>19</v>
      </c>
      <c r="H3" s="1" t="s">
        <v>20</v>
      </c>
      <c r="I3" s="1" t="s">
        <v>21</v>
      </c>
      <c r="J3" s="3">
        <v>46140</v>
      </c>
      <c r="K3" s="1" t="s">
        <v>22</v>
      </c>
      <c r="L3" s="1" t="s">
        <v>443</v>
      </c>
      <c r="M3" s="1" t="s">
        <v>23</v>
      </c>
      <c r="N3" s="1" t="s">
        <v>24</v>
      </c>
      <c r="O3" s="1" t="s">
        <v>25</v>
      </c>
      <c r="P3" s="1" t="s">
        <v>444</v>
      </c>
      <c r="Q3" s="20">
        <v>1</v>
      </c>
    </row>
    <row r="4" spans="1:17" ht="15.75" thickBot="1" x14ac:dyDescent="0.3">
      <c r="A4" s="18" t="s">
        <v>13</v>
      </c>
      <c r="B4" s="1" t="s">
        <v>14</v>
      </c>
      <c r="C4" s="1" t="s">
        <v>15</v>
      </c>
      <c r="D4" s="1" t="s">
        <v>16</v>
      </c>
      <c r="E4" s="1" t="s">
        <v>28</v>
      </c>
      <c r="F4" s="1" t="s">
        <v>29</v>
      </c>
      <c r="G4" s="1" t="s">
        <v>19</v>
      </c>
      <c r="H4" s="1" t="s">
        <v>20</v>
      </c>
      <c r="I4" s="1" t="s">
        <v>21</v>
      </c>
      <c r="J4" s="3">
        <v>46142</v>
      </c>
      <c r="K4" s="1" t="s">
        <v>22</v>
      </c>
      <c r="L4" s="1" t="s">
        <v>443</v>
      </c>
      <c r="M4" s="1" t="s">
        <v>23</v>
      </c>
      <c r="N4" s="1" t="s">
        <v>24</v>
      </c>
      <c r="O4" s="1" t="s">
        <v>25</v>
      </c>
      <c r="P4" s="1" t="s">
        <v>444</v>
      </c>
      <c r="Q4" s="19">
        <v>1</v>
      </c>
    </row>
    <row r="5" spans="1:17" ht="15.75" thickBot="1" x14ac:dyDescent="0.3">
      <c r="A5" s="18" t="s">
        <v>13</v>
      </c>
      <c r="B5" s="1" t="s">
        <v>14</v>
      </c>
      <c r="C5" s="1" t="s">
        <v>15</v>
      </c>
      <c r="D5" s="1" t="s">
        <v>16</v>
      </c>
      <c r="E5" s="1" t="s">
        <v>30</v>
      </c>
      <c r="F5" s="1" t="s">
        <v>31</v>
      </c>
      <c r="G5" s="1" t="s">
        <v>19</v>
      </c>
      <c r="H5" s="1" t="s">
        <v>20</v>
      </c>
      <c r="I5" s="1" t="s">
        <v>21</v>
      </c>
      <c r="J5" s="3">
        <v>46145</v>
      </c>
      <c r="K5" s="1" t="s">
        <v>22</v>
      </c>
      <c r="L5" s="1" t="s">
        <v>443</v>
      </c>
      <c r="M5" s="1" t="s">
        <v>23</v>
      </c>
      <c r="N5" s="1" t="s">
        <v>24</v>
      </c>
      <c r="O5" s="1" t="s">
        <v>25</v>
      </c>
      <c r="P5" s="1" t="s">
        <v>444</v>
      </c>
      <c r="Q5" s="20">
        <v>1</v>
      </c>
    </row>
    <row r="6" spans="1:17" ht="15.75" thickBot="1" x14ac:dyDescent="0.3">
      <c r="A6" s="18" t="s">
        <v>13</v>
      </c>
      <c r="B6" s="1" t="s">
        <v>14</v>
      </c>
      <c r="C6" s="1" t="s">
        <v>15</v>
      </c>
      <c r="D6" s="1" t="s">
        <v>16</v>
      </c>
      <c r="E6" s="1" t="s">
        <v>32</v>
      </c>
      <c r="F6" s="1" t="s">
        <v>33</v>
      </c>
      <c r="G6" s="1" t="s">
        <v>19</v>
      </c>
      <c r="H6" s="1" t="s">
        <v>34</v>
      </c>
      <c r="I6" s="1" t="s">
        <v>21</v>
      </c>
      <c r="J6" s="3">
        <v>46145</v>
      </c>
      <c r="K6" s="1" t="s">
        <v>22</v>
      </c>
      <c r="L6" s="1" t="s">
        <v>443</v>
      </c>
      <c r="M6" s="1" t="s">
        <v>23</v>
      </c>
      <c r="N6" s="1" t="s">
        <v>24</v>
      </c>
      <c r="O6" s="1" t="s">
        <v>25</v>
      </c>
      <c r="P6" s="1" t="s">
        <v>444</v>
      </c>
      <c r="Q6" s="19">
        <v>1</v>
      </c>
    </row>
    <row r="7" spans="1:17" ht="15.75" thickBot="1" x14ac:dyDescent="0.3">
      <c r="A7" s="18" t="s">
        <v>13</v>
      </c>
      <c r="B7" s="1" t="s">
        <v>14</v>
      </c>
      <c r="C7" s="1" t="s">
        <v>15</v>
      </c>
      <c r="D7" s="1" t="s">
        <v>35</v>
      </c>
      <c r="E7" s="1" t="s">
        <v>36</v>
      </c>
      <c r="F7" s="1" t="s">
        <v>37</v>
      </c>
      <c r="G7" s="1" t="s">
        <v>19</v>
      </c>
      <c r="H7" s="1" t="s">
        <v>20</v>
      </c>
      <c r="I7" s="1" t="s">
        <v>21</v>
      </c>
      <c r="J7" s="3">
        <v>46144</v>
      </c>
      <c r="K7" s="1" t="s">
        <v>22</v>
      </c>
      <c r="L7" s="1" t="s">
        <v>443</v>
      </c>
      <c r="M7" s="1" t="s">
        <v>23</v>
      </c>
      <c r="N7" s="1" t="s">
        <v>24</v>
      </c>
      <c r="O7" s="1" t="s">
        <v>25</v>
      </c>
      <c r="P7" s="1" t="s">
        <v>444</v>
      </c>
      <c r="Q7" s="20">
        <v>1</v>
      </c>
    </row>
    <row r="8" spans="1:17" ht="15.75" thickBot="1" x14ac:dyDescent="0.3">
      <c r="A8" s="18" t="s">
        <v>13</v>
      </c>
      <c r="B8" s="1" t="s">
        <v>14</v>
      </c>
      <c r="C8" s="1" t="s">
        <v>15</v>
      </c>
      <c r="D8" s="1" t="s">
        <v>23</v>
      </c>
      <c r="E8" s="1" t="s">
        <v>38</v>
      </c>
      <c r="F8" s="1" t="s">
        <v>39</v>
      </c>
      <c r="G8" s="1" t="s">
        <v>19</v>
      </c>
      <c r="H8" s="1" t="s">
        <v>20</v>
      </c>
      <c r="I8" s="1" t="s">
        <v>40</v>
      </c>
      <c r="J8" s="3">
        <v>46144</v>
      </c>
      <c r="K8" s="1" t="s">
        <v>22</v>
      </c>
      <c r="L8" s="1" t="s">
        <v>443</v>
      </c>
      <c r="M8" s="1" t="s">
        <v>23</v>
      </c>
      <c r="N8" s="1" t="s">
        <v>24</v>
      </c>
      <c r="O8" s="1" t="s">
        <v>25</v>
      </c>
      <c r="P8" s="1" t="s">
        <v>444</v>
      </c>
      <c r="Q8" s="19">
        <v>1</v>
      </c>
    </row>
    <row r="9" spans="1:17" x14ac:dyDescent="0.25">
      <c r="A9" s="25" t="s">
        <v>41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7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CC41-E300-4E6B-B0F6-6879D051E7C9}">
  <dimension ref="A1:O31"/>
  <sheetViews>
    <sheetView workbookViewId="0">
      <selection activeCell="O1" sqref="A1:O1"/>
    </sheetView>
  </sheetViews>
  <sheetFormatPr baseColWidth="10" defaultRowHeight="15" x14ac:dyDescent="0.25"/>
  <cols>
    <col min="1" max="1" width="27.7109375" customWidth="1"/>
    <col min="2" max="2" width="11" customWidth="1"/>
    <col min="3" max="3" width="22.140625" customWidth="1"/>
    <col min="4" max="4" width="26.140625" customWidth="1"/>
    <col min="5" max="5" width="23.5703125" customWidth="1"/>
    <col min="6" max="6" width="20.42578125" customWidth="1"/>
    <col min="7" max="7" width="38.42578125" customWidth="1"/>
    <col min="8" max="8" width="35.42578125" customWidth="1"/>
    <col min="9" max="9" width="15.140625" customWidth="1"/>
    <col min="10" max="10" width="18.42578125" customWidth="1"/>
    <col min="11" max="11" width="11" customWidth="1"/>
    <col min="12" max="12" width="18.85546875" customWidth="1"/>
    <col min="13" max="13" width="34.7109375" customWidth="1"/>
    <col min="14" max="14" width="13.5703125" customWidth="1"/>
    <col min="15" max="15" width="23.85546875" customWidth="1"/>
  </cols>
  <sheetData>
    <row r="1" spans="1:15" ht="23.25" thickBot="1" x14ac:dyDescent="0.3">
      <c r="A1" s="28" t="s">
        <v>9</v>
      </c>
      <c r="B1" s="21" t="s">
        <v>457</v>
      </c>
      <c r="C1" s="22" t="s">
        <v>1</v>
      </c>
      <c r="D1" s="22" t="s">
        <v>2</v>
      </c>
      <c r="E1" s="22" t="s">
        <v>42</v>
      </c>
      <c r="F1" s="23" t="s">
        <v>10</v>
      </c>
      <c r="G1" s="21" t="s">
        <v>455</v>
      </c>
      <c r="H1" s="22" t="s">
        <v>7</v>
      </c>
      <c r="I1" s="22" t="s">
        <v>43</v>
      </c>
      <c r="J1" s="23" t="s">
        <v>44</v>
      </c>
      <c r="K1" s="21" t="s">
        <v>458</v>
      </c>
      <c r="L1" s="22" t="s">
        <v>0</v>
      </c>
      <c r="M1" s="22" t="s">
        <v>442</v>
      </c>
      <c r="N1" s="24" t="s">
        <v>11</v>
      </c>
      <c r="O1" s="23" t="s">
        <v>45</v>
      </c>
    </row>
    <row r="2" spans="1:15" ht="15.75" thickBot="1" x14ac:dyDescent="0.3">
      <c r="A2" s="18" t="s">
        <v>46</v>
      </c>
      <c r="B2" s="1" t="s">
        <v>445</v>
      </c>
      <c r="C2" s="1" t="s">
        <v>14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450</v>
      </c>
      <c r="O2" s="19">
        <v>1</v>
      </c>
    </row>
    <row r="3" spans="1:15" ht="15.75" thickBot="1" x14ac:dyDescent="0.3">
      <c r="A3" s="18" t="s">
        <v>46</v>
      </c>
      <c r="B3" s="1" t="s">
        <v>445</v>
      </c>
      <c r="C3" s="1" t="s">
        <v>14</v>
      </c>
      <c r="D3" s="1" t="s">
        <v>47</v>
      </c>
      <c r="E3" s="1" t="s">
        <v>48</v>
      </c>
      <c r="F3" s="1" t="s">
        <v>57</v>
      </c>
      <c r="G3" s="1" t="s">
        <v>58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 s="1" t="s">
        <v>450</v>
      </c>
      <c r="O3" s="20">
        <v>1</v>
      </c>
    </row>
    <row r="4" spans="1:15" ht="15.75" thickBot="1" x14ac:dyDescent="0.3">
      <c r="A4" s="18" t="s">
        <v>46</v>
      </c>
      <c r="B4" s="1" t="s">
        <v>445</v>
      </c>
      <c r="C4" s="1" t="s">
        <v>14</v>
      </c>
      <c r="D4" s="1" t="s">
        <v>47</v>
      </c>
      <c r="E4" s="1" t="s">
        <v>48</v>
      </c>
      <c r="F4" s="1" t="s">
        <v>59</v>
      </c>
      <c r="G4" s="1" t="s">
        <v>60</v>
      </c>
      <c r="H4" s="1" t="s">
        <v>61</v>
      </c>
      <c r="I4" s="1" t="s">
        <v>52</v>
      </c>
      <c r="J4" s="1" t="s">
        <v>53</v>
      </c>
      <c r="K4" s="1" t="s">
        <v>54</v>
      </c>
      <c r="L4" s="1" t="s">
        <v>62</v>
      </c>
      <c r="M4" s="1" t="s">
        <v>56</v>
      </c>
      <c r="N4" s="1" t="s">
        <v>450</v>
      </c>
      <c r="O4" s="19">
        <v>1</v>
      </c>
    </row>
    <row r="5" spans="1:15" ht="15.75" thickBot="1" x14ac:dyDescent="0.3">
      <c r="A5" s="18" t="s">
        <v>46</v>
      </c>
      <c r="B5" s="1" t="s">
        <v>445</v>
      </c>
      <c r="C5" s="1" t="s">
        <v>14</v>
      </c>
      <c r="D5" s="1" t="s">
        <v>47</v>
      </c>
      <c r="E5" s="1" t="s">
        <v>48</v>
      </c>
      <c r="F5" s="1" t="s">
        <v>63</v>
      </c>
      <c r="G5" s="1" t="s">
        <v>64</v>
      </c>
      <c r="H5" s="1" t="s">
        <v>65</v>
      </c>
      <c r="I5" s="1" t="s">
        <v>52</v>
      </c>
      <c r="J5" s="1" t="s">
        <v>53</v>
      </c>
      <c r="K5" s="1" t="s">
        <v>54</v>
      </c>
      <c r="L5" s="1" t="s">
        <v>55</v>
      </c>
      <c r="M5" s="1" t="s">
        <v>56</v>
      </c>
      <c r="N5" s="1" t="s">
        <v>450</v>
      </c>
      <c r="O5" s="20">
        <v>1</v>
      </c>
    </row>
    <row r="6" spans="1:15" ht="15.75" thickBot="1" x14ac:dyDescent="0.3">
      <c r="A6" s="18" t="s">
        <v>46</v>
      </c>
      <c r="B6" s="1" t="s">
        <v>445</v>
      </c>
      <c r="C6" s="1" t="s">
        <v>14</v>
      </c>
      <c r="D6" s="1" t="s">
        <v>47</v>
      </c>
      <c r="E6" s="1" t="s">
        <v>48</v>
      </c>
      <c r="F6" s="1" t="s">
        <v>66</v>
      </c>
      <c r="G6" s="1" t="s">
        <v>67</v>
      </c>
      <c r="H6" s="1" t="s">
        <v>68</v>
      </c>
      <c r="I6" s="1" t="s">
        <v>52</v>
      </c>
      <c r="J6" s="1" t="s">
        <v>53</v>
      </c>
      <c r="K6" s="1" t="s">
        <v>54</v>
      </c>
      <c r="L6" s="1" t="s">
        <v>69</v>
      </c>
      <c r="M6" s="1" t="s">
        <v>56</v>
      </c>
      <c r="N6" s="1" t="s">
        <v>450</v>
      </c>
      <c r="O6" s="19">
        <v>1</v>
      </c>
    </row>
    <row r="7" spans="1:15" ht="15.75" thickBot="1" x14ac:dyDescent="0.3">
      <c r="A7" s="18" t="s">
        <v>70</v>
      </c>
      <c r="B7" s="1" t="s">
        <v>446</v>
      </c>
      <c r="C7" s="1" t="s">
        <v>14</v>
      </c>
      <c r="D7" s="1" t="s">
        <v>71</v>
      </c>
      <c r="E7" s="1" t="s">
        <v>23</v>
      </c>
      <c r="F7" s="1" t="s">
        <v>72</v>
      </c>
      <c r="G7" s="1" t="s">
        <v>73</v>
      </c>
      <c r="H7" s="1" t="s">
        <v>74</v>
      </c>
      <c r="I7" s="1" t="s">
        <v>75</v>
      </c>
      <c r="J7" s="1" t="s">
        <v>76</v>
      </c>
      <c r="K7" s="1" t="s">
        <v>77</v>
      </c>
      <c r="L7" s="1" t="s">
        <v>55</v>
      </c>
      <c r="M7" s="1" t="s">
        <v>78</v>
      </c>
      <c r="N7" s="1" t="s">
        <v>918</v>
      </c>
      <c r="O7" s="20">
        <v>1</v>
      </c>
    </row>
    <row r="8" spans="1:15" ht="15.75" thickBot="1" x14ac:dyDescent="0.3">
      <c r="A8" s="18" t="s">
        <v>79</v>
      </c>
      <c r="B8" s="1" t="s">
        <v>447</v>
      </c>
      <c r="C8" s="1" t="s">
        <v>14</v>
      </c>
      <c r="D8" s="1" t="s">
        <v>71</v>
      </c>
      <c r="E8" s="1" t="s">
        <v>23</v>
      </c>
      <c r="F8" s="1" t="s">
        <v>80</v>
      </c>
      <c r="G8" s="1" t="s">
        <v>81</v>
      </c>
      <c r="H8" s="1" t="s">
        <v>82</v>
      </c>
      <c r="I8" s="1" t="s">
        <v>75</v>
      </c>
      <c r="J8" s="1" t="s">
        <v>76</v>
      </c>
      <c r="K8" s="1" t="s">
        <v>77</v>
      </c>
      <c r="L8" s="1" t="s">
        <v>55</v>
      </c>
      <c r="M8" s="1" t="s">
        <v>83</v>
      </c>
      <c r="N8" s="1" t="s">
        <v>919</v>
      </c>
      <c r="O8" s="19">
        <v>1</v>
      </c>
    </row>
    <row r="9" spans="1:15" ht="15.75" thickBot="1" x14ac:dyDescent="0.3">
      <c r="A9" s="18" t="s">
        <v>79</v>
      </c>
      <c r="B9" s="1" t="s">
        <v>447</v>
      </c>
      <c r="C9" s="1" t="s">
        <v>14</v>
      </c>
      <c r="D9" s="1" t="s">
        <v>71</v>
      </c>
      <c r="E9" s="1" t="s">
        <v>23</v>
      </c>
      <c r="F9" s="1" t="s">
        <v>84</v>
      </c>
      <c r="G9" s="1" t="s">
        <v>85</v>
      </c>
      <c r="H9" s="1" t="s">
        <v>82</v>
      </c>
      <c r="I9" s="1" t="s">
        <v>75</v>
      </c>
      <c r="J9" s="1" t="s">
        <v>86</v>
      </c>
      <c r="K9" s="1" t="s">
        <v>87</v>
      </c>
      <c r="L9" s="1" t="s">
        <v>55</v>
      </c>
      <c r="M9" s="1" t="s">
        <v>83</v>
      </c>
      <c r="N9" s="1" t="s">
        <v>919</v>
      </c>
      <c r="O9" s="20">
        <v>1</v>
      </c>
    </row>
    <row r="10" spans="1:15" ht="15.75" thickBot="1" x14ac:dyDescent="0.3">
      <c r="A10" s="18" t="s">
        <v>79</v>
      </c>
      <c r="B10" s="1" t="s">
        <v>447</v>
      </c>
      <c r="C10" s="1" t="s">
        <v>14</v>
      </c>
      <c r="D10" s="1" t="s">
        <v>71</v>
      </c>
      <c r="E10" s="1" t="s">
        <v>23</v>
      </c>
      <c r="F10" s="1" t="s">
        <v>88</v>
      </c>
      <c r="G10" s="1" t="s">
        <v>89</v>
      </c>
      <c r="H10" s="1" t="s">
        <v>82</v>
      </c>
      <c r="I10" s="1" t="s">
        <v>75</v>
      </c>
      <c r="J10" s="1" t="s">
        <v>86</v>
      </c>
      <c r="K10" s="1" t="s">
        <v>87</v>
      </c>
      <c r="L10" s="1" t="s">
        <v>55</v>
      </c>
      <c r="M10" s="1" t="s">
        <v>83</v>
      </c>
      <c r="N10" s="1" t="s">
        <v>919</v>
      </c>
      <c r="O10" s="19">
        <v>1</v>
      </c>
    </row>
    <row r="11" spans="1:15" ht="15.75" thickBot="1" x14ac:dyDescent="0.3">
      <c r="A11" s="18" t="s">
        <v>79</v>
      </c>
      <c r="B11" s="1" t="s">
        <v>447</v>
      </c>
      <c r="C11" s="1" t="s">
        <v>14</v>
      </c>
      <c r="D11" s="1" t="s">
        <v>71</v>
      </c>
      <c r="E11" s="1" t="s">
        <v>23</v>
      </c>
      <c r="F11" s="1" t="s">
        <v>90</v>
      </c>
      <c r="G11" s="1" t="s">
        <v>91</v>
      </c>
      <c r="H11" s="1" t="s">
        <v>82</v>
      </c>
      <c r="I11" s="1" t="s">
        <v>75</v>
      </c>
      <c r="J11" s="1" t="s">
        <v>76</v>
      </c>
      <c r="K11" s="1" t="s">
        <v>77</v>
      </c>
      <c r="L11" s="1" t="s">
        <v>55</v>
      </c>
      <c r="M11" s="1" t="s">
        <v>83</v>
      </c>
      <c r="N11" s="1" t="s">
        <v>919</v>
      </c>
      <c r="O11" s="20">
        <v>1</v>
      </c>
    </row>
    <row r="12" spans="1:15" ht="15.75" thickBot="1" x14ac:dyDescent="0.3">
      <c r="A12" s="18" t="s">
        <v>79</v>
      </c>
      <c r="B12" s="1" t="s">
        <v>447</v>
      </c>
      <c r="C12" s="1" t="s">
        <v>14</v>
      </c>
      <c r="D12" s="1" t="s">
        <v>71</v>
      </c>
      <c r="E12" s="1" t="s">
        <v>23</v>
      </c>
      <c r="F12" s="1" t="s">
        <v>92</v>
      </c>
      <c r="G12" s="1" t="s">
        <v>93</v>
      </c>
      <c r="H12" s="1" t="s">
        <v>82</v>
      </c>
      <c r="I12" s="1" t="s">
        <v>75</v>
      </c>
      <c r="J12" s="1" t="s">
        <v>76</v>
      </c>
      <c r="K12" s="1" t="s">
        <v>77</v>
      </c>
      <c r="L12" s="1" t="s">
        <v>55</v>
      </c>
      <c r="M12" s="1" t="s">
        <v>83</v>
      </c>
      <c r="N12" s="1" t="s">
        <v>919</v>
      </c>
      <c r="O12" s="19">
        <v>1</v>
      </c>
    </row>
    <row r="13" spans="1:15" ht="15.75" thickBot="1" x14ac:dyDescent="0.3">
      <c r="A13" s="18" t="s">
        <v>79</v>
      </c>
      <c r="B13" s="1" t="s">
        <v>447</v>
      </c>
      <c r="C13" s="1" t="s">
        <v>14</v>
      </c>
      <c r="D13" s="1" t="s">
        <v>94</v>
      </c>
      <c r="E13" s="1" t="s">
        <v>95</v>
      </c>
      <c r="F13" s="1" t="s">
        <v>96</v>
      </c>
      <c r="G13" s="1" t="s">
        <v>97</v>
      </c>
      <c r="H13" s="1" t="s">
        <v>98</v>
      </c>
      <c r="I13" s="1" t="s">
        <v>52</v>
      </c>
      <c r="J13" s="1" t="s">
        <v>99</v>
      </c>
      <c r="K13" s="1" t="s">
        <v>100</v>
      </c>
      <c r="L13" s="1" t="s">
        <v>13</v>
      </c>
      <c r="M13" s="1" t="s">
        <v>83</v>
      </c>
      <c r="N13" s="1" t="s">
        <v>919</v>
      </c>
      <c r="O13" s="20">
        <v>1</v>
      </c>
    </row>
    <row r="14" spans="1:15" ht="15.75" thickBot="1" x14ac:dyDescent="0.3">
      <c r="A14" s="18" t="s">
        <v>79</v>
      </c>
      <c r="B14" s="1" t="s">
        <v>447</v>
      </c>
      <c r="C14" s="1" t="s">
        <v>14</v>
      </c>
      <c r="D14" s="1" t="s">
        <v>94</v>
      </c>
      <c r="E14" s="1" t="s">
        <v>95</v>
      </c>
      <c r="F14" s="1" t="s">
        <v>101</v>
      </c>
      <c r="G14" s="1" t="s">
        <v>102</v>
      </c>
      <c r="H14" s="1" t="s">
        <v>103</v>
      </c>
      <c r="I14" s="1" t="s">
        <v>104</v>
      </c>
      <c r="J14" s="1" t="s">
        <v>105</v>
      </c>
      <c r="K14" s="1" t="s">
        <v>106</v>
      </c>
      <c r="L14" s="1" t="s">
        <v>13</v>
      </c>
      <c r="M14" s="1" t="s">
        <v>83</v>
      </c>
      <c r="N14" s="1" t="s">
        <v>919</v>
      </c>
      <c r="O14" s="19">
        <v>1</v>
      </c>
    </row>
    <row r="15" spans="1:15" ht="15.75" thickBot="1" x14ac:dyDescent="0.3">
      <c r="A15" s="18" t="s">
        <v>22</v>
      </c>
      <c r="B15" s="1" t="s">
        <v>443</v>
      </c>
      <c r="C15" s="1" t="s">
        <v>14</v>
      </c>
      <c r="D15" s="1" t="s">
        <v>15</v>
      </c>
      <c r="E15" s="1" t="s">
        <v>16</v>
      </c>
      <c r="F15" s="1" t="s">
        <v>107</v>
      </c>
      <c r="G15" s="1" t="s">
        <v>108</v>
      </c>
      <c r="H15" s="1" t="s">
        <v>109</v>
      </c>
      <c r="I15" s="1" t="s">
        <v>52</v>
      </c>
      <c r="J15" s="1" t="s">
        <v>99</v>
      </c>
      <c r="K15" s="1" t="s">
        <v>100</v>
      </c>
      <c r="L15" s="1" t="s">
        <v>13</v>
      </c>
      <c r="M15" s="1" t="s">
        <v>25</v>
      </c>
      <c r="N15" s="1" t="s">
        <v>444</v>
      </c>
      <c r="O15" s="20">
        <v>1</v>
      </c>
    </row>
    <row r="16" spans="1:15" ht="15.75" thickBot="1" x14ac:dyDescent="0.3">
      <c r="A16" s="18" t="s">
        <v>22</v>
      </c>
      <c r="B16" s="1" t="s">
        <v>443</v>
      </c>
      <c r="C16" s="1" t="s">
        <v>14</v>
      </c>
      <c r="D16" s="1" t="s">
        <v>15</v>
      </c>
      <c r="E16" s="1" t="s">
        <v>16</v>
      </c>
      <c r="F16" s="1" t="s">
        <v>110</v>
      </c>
      <c r="G16" s="1" t="s">
        <v>111</v>
      </c>
      <c r="H16" s="1" t="s">
        <v>112</v>
      </c>
      <c r="I16" s="1" t="s">
        <v>52</v>
      </c>
      <c r="J16" s="1" t="s">
        <v>53</v>
      </c>
      <c r="K16" s="1" t="s">
        <v>54</v>
      </c>
      <c r="L16" s="1" t="s">
        <v>55</v>
      </c>
      <c r="M16" s="1" t="s">
        <v>25</v>
      </c>
      <c r="N16" s="1" t="s">
        <v>444</v>
      </c>
      <c r="O16" s="19">
        <v>1</v>
      </c>
    </row>
    <row r="17" spans="1:15" ht="15.75" thickBot="1" x14ac:dyDescent="0.3">
      <c r="A17" s="18" t="s">
        <v>22</v>
      </c>
      <c r="B17" s="1" t="s">
        <v>443</v>
      </c>
      <c r="C17" s="1" t="s">
        <v>14</v>
      </c>
      <c r="D17" s="1" t="s">
        <v>15</v>
      </c>
      <c r="E17" s="1" t="s">
        <v>16</v>
      </c>
      <c r="F17" s="1" t="s">
        <v>113</v>
      </c>
      <c r="G17" s="1" t="s">
        <v>114</v>
      </c>
      <c r="H17" s="1" t="s">
        <v>103</v>
      </c>
      <c r="I17" s="1" t="s">
        <v>104</v>
      </c>
      <c r="J17" s="1" t="s">
        <v>105</v>
      </c>
      <c r="K17" s="1" t="s">
        <v>106</v>
      </c>
      <c r="L17" s="1" t="s">
        <v>55</v>
      </c>
      <c r="M17" s="1" t="s">
        <v>25</v>
      </c>
      <c r="N17" s="1" t="s">
        <v>444</v>
      </c>
      <c r="O17" s="20">
        <v>1</v>
      </c>
    </row>
    <row r="18" spans="1:15" ht="15.75" thickBot="1" x14ac:dyDescent="0.3">
      <c r="A18" s="18" t="s">
        <v>22</v>
      </c>
      <c r="B18" s="1" t="s">
        <v>443</v>
      </c>
      <c r="C18" s="1" t="s">
        <v>14</v>
      </c>
      <c r="D18" s="1" t="s">
        <v>15</v>
      </c>
      <c r="E18" s="1" t="s">
        <v>16</v>
      </c>
      <c r="F18" s="1" t="s">
        <v>115</v>
      </c>
      <c r="G18" s="1" t="s">
        <v>116</v>
      </c>
      <c r="H18" s="1" t="s">
        <v>117</v>
      </c>
      <c r="I18" s="1" t="s">
        <v>104</v>
      </c>
      <c r="J18" s="1" t="s">
        <v>105</v>
      </c>
      <c r="K18" s="1" t="s">
        <v>106</v>
      </c>
      <c r="L18" s="1" t="s">
        <v>55</v>
      </c>
      <c r="M18" s="1" t="s">
        <v>25</v>
      </c>
      <c r="N18" s="1" t="s">
        <v>444</v>
      </c>
      <c r="O18" s="19">
        <v>1</v>
      </c>
    </row>
    <row r="19" spans="1:15" ht="15.75" thickBot="1" x14ac:dyDescent="0.3">
      <c r="A19" s="18" t="s">
        <v>22</v>
      </c>
      <c r="B19" s="1" t="s">
        <v>443</v>
      </c>
      <c r="C19" s="1" t="s">
        <v>14</v>
      </c>
      <c r="D19" s="1" t="s">
        <v>15</v>
      </c>
      <c r="E19" s="1" t="s">
        <v>16</v>
      </c>
      <c r="F19" s="1" t="s">
        <v>118</v>
      </c>
      <c r="G19" s="1" t="s">
        <v>119</v>
      </c>
      <c r="H19" s="1" t="s">
        <v>120</v>
      </c>
      <c r="I19" s="1" t="s">
        <v>52</v>
      </c>
      <c r="J19" s="1" t="s">
        <v>53</v>
      </c>
      <c r="K19" s="1" t="s">
        <v>54</v>
      </c>
      <c r="L19" s="1" t="s">
        <v>55</v>
      </c>
      <c r="M19" s="1" t="s">
        <v>25</v>
      </c>
      <c r="N19" s="1" t="s">
        <v>444</v>
      </c>
      <c r="O19" s="20">
        <v>1</v>
      </c>
    </row>
    <row r="20" spans="1:15" ht="15.75" thickBot="1" x14ac:dyDescent="0.3">
      <c r="A20" s="18" t="s">
        <v>22</v>
      </c>
      <c r="B20" s="1" t="s">
        <v>443</v>
      </c>
      <c r="C20" s="1" t="s">
        <v>14</v>
      </c>
      <c r="D20" s="1" t="s">
        <v>15</v>
      </c>
      <c r="E20" s="1" t="s">
        <v>35</v>
      </c>
      <c r="F20" s="1" t="s">
        <v>121</v>
      </c>
      <c r="G20" s="1" t="s">
        <v>122</v>
      </c>
      <c r="H20" s="1" t="s">
        <v>82</v>
      </c>
      <c r="I20" s="1" t="s">
        <v>52</v>
      </c>
      <c r="J20" s="1" t="s">
        <v>123</v>
      </c>
      <c r="K20" s="1" t="s">
        <v>124</v>
      </c>
      <c r="L20" s="1" t="s">
        <v>62</v>
      </c>
      <c r="M20" s="1" t="s">
        <v>25</v>
      </c>
      <c r="N20" s="1" t="s">
        <v>444</v>
      </c>
      <c r="O20" s="19">
        <v>1</v>
      </c>
    </row>
    <row r="21" spans="1:15" ht="15.75" thickBot="1" x14ac:dyDescent="0.3">
      <c r="A21" s="18" t="s">
        <v>22</v>
      </c>
      <c r="B21" s="1" t="s">
        <v>443</v>
      </c>
      <c r="C21" s="1" t="s">
        <v>14</v>
      </c>
      <c r="D21" s="1" t="s">
        <v>15</v>
      </c>
      <c r="E21" s="1" t="s">
        <v>35</v>
      </c>
      <c r="F21" s="1" t="s">
        <v>125</v>
      </c>
      <c r="G21" s="1" t="s">
        <v>126</v>
      </c>
      <c r="H21" s="1" t="s">
        <v>82</v>
      </c>
      <c r="I21" s="1" t="s">
        <v>52</v>
      </c>
      <c r="J21" s="1" t="s">
        <v>99</v>
      </c>
      <c r="K21" s="1" t="s">
        <v>100</v>
      </c>
      <c r="L21" s="1" t="s">
        <v>55</v>
      </c>
      <c r="M21" s="1" t="s">
        <v>25</v>
      </c>
      <c r="N21" s="1" t="s">
        <v>444</v>
      </c>
      <c r="O21" s="20">
        <v>1</v>
      </c>
    </row>
    <row r="22" spans="1:15" ht="15.75" thickBot="1" x14ac:dyDescent="0.3">
      <c r="A22" s="18" t="s">
        <v>22</v>
      </c>
      <c r="B22" s="1" t="s">
        <v>443</v>
      </c>
      <c r="C22" s="1" t="s">
        <v>14</v>
      </c>
      <c r="D22" s="1" t="s">
        <v>15</v>
      </c>
      <c r="E22" s="1" t="s">
        <v>35</v>
      </c>
      <c r="F22" s="1" t="s">
        <v>127</v>
      </c>
      <c r="G22" s="1" t="s">
        <v>128</v>
      </c>
      <c r="H22" s="1" t="s">
        <v>82</v>
      </c>
      <c r="I22" s="1" t="s">
        <v>52</v>
      </c>
      <c r="J22" s="1" t="s">
        <v>99</v>
      </c>
      <c r="K22" s="1" t="s">
        <v>100</v>
      </c>
      <c r="L22" s="1" t="s">
        <v>55</v>
      </c>
      <c r="M22" s="1" t="s">
        <v>25</v>
      </c>
      <c r="N22" s="1" t="s">
        <v>444</v>
      </c>
      <c r="O22" s="19">
        <v>1</v>
      </c>
    </row>
    <row r="23" spans="1:15" ht="15.75" thickBot="1" x14ac:dyDescent="0.3">
      <c r="A23" s="18" t="s">
        <v>22</v>
      </c>
      <c r="B23" s="1" t="s">
        <v>443</v>
      </c>
      <c r="C23" s="1" t="s">
        <v>14</v>
      </c>
      <c r="D23" s="1" t="s">
        <v>15</v>
      </c>
      <c r="E23" s="1" t="s">
        <v>35</v>
      </c>
      <c r="F23" s="1" t="s">
        <v>129</v>
      </c>
      <c r="G23" s="1" t="s">
        <v>130</v>
      </c>
      <c r="H23" s="1" t="s">
        <v>82</v>
      </c>
      <c r="I23" s="1" t="s">
        <v>104</v>
      </c>
      <c r="J23" s="1" t="s">
        <v>105</v>
      </c>
      <c r="K23" s="1" t="s">
        <v>106</v>
      </c>
      <c r="L23" s="1" t="s">
        <v>55</v>
      </c>
      <c r="M23" s="1" t="s">
        <v>25</v>
      </c>
      <c r="N23" s="1" t="s">
        <v>444</v>
      </c>
      <c r="O23" s="20">
        <v>1</v>
      </c>
    </row>
    <row r="24" spans="1:15" ht="15.75" thickBot="1" x14ac:dyDescent="0.3">
      <c r="A24" s="18" t="s">
        <v>22</v>
      </c>
      <c r="B24" s="1" t="s">
        <v>443</v>
      </c>
      <c r="C24" s="1" t="s">
        <v>14</v>
      </c>
      <c r="D24" s="1" t="s">
        <v>94</v>
      </c>
      <c r="E24" s="1" t="s">
        <v>131</v>
      </c>
      <c r="F24" s="1" t="s">
        <v>132</v>
      </c>
      <c r="G24" s="1" t="s">
        <v>133</v>
      </c>
      <c r="H24" s="1" t="s">
        <v>112</v>
      </c>
      <c r="I24" s="1" t="s">
        <v>52</v>
      </c>
      <c r="J24" s="1" t="s">
        <v>123</v>
      </c>
      <c r="K24" s="1" t="s">
        <v>124</v>
      </c>
      <c r="L24" s="1" t="s">
        <v>62</v>
      </c>
      <c r="M24" s="1" t="s">
        <v>25</v>
      </c>
      <c r="N24" s="1" t="s">
        <v>444</v>
      </c>
      <c r="O24" s="19">
        <v>1</v>
      </c>
    </row>
    <row r="25" spans="1:15" ht="15.75" thickBot="1" x14ac:dyDescent="0.3">
      <c r="A25" s="18" t="s">
        <v>22</v>
      </c>
      <c r="B25" s="1" t="s">
        <v>443</v>
      </c>
      <c r="C25" s="1" t="s">
        <v>14</v>
      </c>
      <c r="D25" s="1" t="s">
        <v>94</v>
      </c>
      <c r="E25" s="1" t="s">
        <v>131</v>
      </c>
      <c r="F25" s="1" t="s">
        <v>134</v>
      </c>
      <c r="G25" s="1" t="s">
        <v>135</v>
      </c>
      <c r="H25" s="1" t="s">
        <v>112</v>
      </c>
      <c r="I25" s="1" t="s">
        <v>52</v>
      </c>
      <c r="J25" s="1" t="s">
        <v>123</v>
      </c>
      <c r="K25" s="1" t="s">
        <v>124</v>
      </c>
      <c r="L25" s="1" t="s">
        <v>62</v>
      </c>
      <c r="M25" s="1" t="s">
        <v>25</v>
      </c>
      <c r="N25" s="1" t="s">
        <v>444</v>
      </c>
      <c r="O25" s="20">
        <v>1</v>
      </c>
    </row>
    <row r="26" spans="1:15" ht="15.75" thickBot="1" x14ac:dyDescent="0.3">
      <c r="A26" s="18" t="s">
        <v>22</v>
      </c>
      <c r="B26" s="1" t="s">
        <v>443</v>
      </c>
      <c r="C26" s="1" t="s">
        <v>14</v>
      </c>
      <c r="D26" s="1" t="s">
        <v>94</v>
      </c>
      <c r="E26" s="1" t="s">
        <v>131</v>
      </c>
      <c r="F26" s="1" t="s">
        <v>136</v>
      </c>
      <c r="G26" s="1" t="s">
        <v>137</v>
      </c>
      <c r="H26" s="1" t="s">
        <v>112</v>
      </c>
      <c r="I26" s="1" t="s">
        <v>52</v>
      </c>
      <c r="J26" s="1" t="s">
        <v>123</v>
      </c>
      <c r="K26" s="1" t="s">
        <v>124</v>
      </c>
      <c r="L26" s="1" t="s">
        <v>62</v>
      </c>
      <c r="M26" s="1" t="s">
        <v>25</v>
      </c>
      <c r="N26" s="1" t="s">
        <v>444</v>
      </c>
      <c r="O26" s="19">
        <v>1</v>
      </c>
    </row>
    <row r="27" spans="1:15" ht="15.75" thickBot="1" x14ac:dyDescent="0.3">
      <c r="A27" s="18" t="s">
        <v>22</v>
      </c>
      <c r="B27" s="1" t="s">
        <v>443</v>
      </c>
      <c r="C27" s="1" t="s">
        <v>14</v>
      </c>
      <c r="D27" s="1" t="s">
        <v>94</v>
      </c>
      <c r="E27" s="1" t="s">
        <v>131</v>
      </c>
      <c r="F27" s="1" t="s">
        <v>138</v>
      </c>
      <c r="G27" s="1" t="s">
        <v>139</v>
      </c>
      <c r="H27" s="1" t="s">
        <v>112</v>
      </c>
      <c r="I27" s="1" t="s">
        <v>52</v>
      </c>
      <c r="J27" s="1" t="s">
        <v>123</v>
      </c>
      <c r="K27" s="1" t="s">
        <v>124</v>
      </c>
      <c r="L27" s="1" t="s">
        <v>62</v>
      </c>
      <c r="M27" s="1" t="s">
        <v>25</v>
      </c>
      <c r="N27" s="1" t="s">
        <v>444</v>
      </c>
      <c r="O27" s="20">
        <v>1</v>
      </c>
    </row>
    <row r="28" spans="1:15" ht="15.75" thickBot="1" x14ac:dyDescent="0.3">
      <c r="A28" s="18" t="s">
        <v>140</v>
      </c>
      <c r="B28" s="1" t="s">
        <v>448</v>
      </c>
      <c r="C28" s="1" t="s">
        <v>14</v>
      </c>
      <c r="D28" s="1" t="s">
        <v>71</v>
      </c>
      <c r="E28" s="1" t="s">
        <v>23</v>
      </c>
      <c r="F28" s="1" t="s">
        <v>141</v>
      </c>
      <c r="G28" s="1" t="s">
        <v>142</v>
      </c>
      <c r="H28" s="1" t="s">
        <v>143</v>
      </c>
      <c r="I28" s="1" t="s">
        <v>75</v>
      </c>
      <c r="J28" s="1" t="s">
        <v>76</v>
      </c>
      <c r="K28" s="1" t="s">
        <v>77</v>
      </c>
      <c r="L28" s="1" t="s">
        <v>55</v>
      </c>
      <c r="M28" s="1" t="s">
        <v>144</v>
      </c>
      <c r="N28" s="1" t="s">
        <v>920</v>
      </c>
      <c r="O28" s="19">
        <v>1</v>
      </c>
    </row>
    <row r="29" spans="1:15" ht="15.75" thickBot="1" x14ac:dyDescent="0.3">
      <c r="A29" s="18" t="s">
        <v>140</v>
      </c>
      <c r="B29" s="1" t="s">
        <v>448</v>
      </c>
      <c r="C29" s="1" t="s">
        <v>14</v>
      </c>
      <c r="D29" s="1" t="s">
        <v>71</v>
      </c>
      <c r="E29" s="1" t="s">
        <v>23</v>
      </c>
      <c r="F29" s="1" t="s">
        <v>145</v>
      </c>
      <c r="G29" s="1" t="s">
        <v>146</v>
      </c>
      <c r="H29" s="1" t="s">
        <v>98</v>
      </c>
      <c r="I29" s="1" t="s">
        <v>75</v>
      </c>
      <c r="J29" s="1" t="s">
        <v>76</v>
      </c>
      <c r="K29" s="1" t="s">
        <v>77</v>
      </c>
      <c r="L29" s="1" t="s">
        <v>55</v>
      </c>
      <c r="M29" s="1" t="s">
        <v>144</v>
      </c>
      <c r="N29" s="1" t="s">
        <v>920</v>
      </c>
      <c r="O29" s="20">
        <v>1</v>
      </c>
    </row>
    <row r="30" spans="1:15" ht="15.75" thickBot="1" x14ac:dyDescent="0.3">
      <c r="A30" s="18" t="s">
        <v>140</v>
      </c>
      <c r="B30" s="1" t="s">
        <v>448</v>
      </c>
      <c r="C30" s="1" t="s">
        <v>14</v>
      </c>
      <c r="D30" s="1" t="s">
        <v>71</v>
      </c>
      <c r="E30" s="1" t="s">
        <v>23</v>
      </c>
      <c r="F30" s="1" t="s">
        <v>147</v>
      </c>
      <c r="G30" s="1" t="s">
        <v>148</v>
      </c>
      <c r="H30" s="1" t="s">
        <v>143</v>
      </c>
      <c r="I30" s="1" t="s">
        <v>75</v>
      </c>
      <c r="J30" s="1" t="s">
        <v>76</v>
      </c>
      <c r="K30" s="1" t="s">
        <v>77</v>
      </c>
      <c r="L30" s="1" t="s">
        <v>55</v>
      </c>
      <c r="M30" s="1" t="s">
        <v>144</v>
      </c>
      <c r="N30" s="1" t="s">
        <v>920</v>
      </c>
      <c r="O30" s="19">
        <v>1</v>
      </c>
    </row>
    <row r="31" spans="1:15" x14ac:dyDescent="0.25">
      <c r="A31" s="25" t="s">
        <v>41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6"/>
      <c r="O31" s="27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042-2D1F-4CE4-A78B-3ED9F168EBCD}">
  <dimension ref="A1:V155"/>
  <sheetViews>
    <sheetView topLeftCell="N1" workbookViewId="0">
      <selection activeCell="O2" sqref="O2"/>
    </sheetView>
  </sheetViews>
  <sheetFormatPr baseColWidth="10" defaultRowHeight="15" x14ac:dyDescent="0.25"/>
  <cols>
    <col min="1" max="1" width="36.7109375" customWidth="1"/>
    <col min="2" max="2" width="22.140625" customWidth="1"/>
    <col min="3" max="3" width="26.140625" customWidth="1"/>
    <col min="4" max="4" width="23.5703125" customWidth="1"/>
    <col min="5" max="5" width="34.7109375" customWidth="1"/>
    <col min="6" max="6" width="13.5703125" customWidth="1"/>
    <col min="7" max="7" width="17.7109375" customWidth="1"/>
    <col min="8" max="10" width="18.42578125" customWidth="1"/>
    <col min="11" max="11" width="20.42578125" customWidth="1"/>
    <col min="12" max="12" width="37" customWidth="1"/>
    <col min="13" max="13" width="28.5703125" customWidth="1"/>
    <col min="14" max="15" width="15.140625" customWidth="1"/>
    <col min="16" max="16" width="18.42578125" customWidth="1"/>
    <col min="17" max="17" width="12.140625" customWidth="1"/>
    <col min="18" max="18" width="14.7109375" customWidth="1"/>
    <col min="19" max="19" width="16.85546875" customWidth="1"/>
    <col min="20" max="20" width="11.85546875" customWidth="1"/>
    <col min="21" max="21" width="13.5703125" customWidth="1"/>
  </cols>
  <sheetData>
    <row r="1" spans="1:22" ht="23.25" thickBot="1" x14ac:dyDescent="0.3">
      <c r="A1" s="18" t="s">
        <v>0</v>
      </c>
      <c r="B1" s="1" t="s">
        <v>1</v>
      </c>
      <c r="C1" s="1" t="s">
        <v>2</v>
      </c>
      <c r="D1" s="1" t="s">
        <v>3</v>
      </c>
      <c r="E1" s="17" t="s">
        <v>11</v>
      </c>
      <c r="F1" s="18" t="s">
        <v>460</v>
      </c>
      <c r="G1" s="17" t="s">
        <v>44</v>
      </c>
      <c r="H1" s="18" t="s">
        <v>458</v>
      </c>
      <c r="I1" s="16" t="s">
        <v>451</v>
      </c>
      <c r="J1" s="16" t="s">
        <v>452</v>
      </c>
      <c r="K1" s="17" t="s">
        <v>10</v>
      </c>
      <c r="L1" s="18" t="s">
        <v>455</v>
      </c>
      <c r="M1" s="1" t="s">
        <v>7</v>
      </c>
      <c r="N1" s="1" t="s">
        <v>43</v>
      </c>
      <c r="O1" s="1" t="s">
        <v>461</v>
      </c>
      <c r="P1" s="1" t="s">
        <v>152</v>
      </c>
      <c r="Q1" s="1" t="s">
        <v>153</v>
      </c>
      <c r="R1" s="1" t="s">
        <v>154</v>
      </c>
      <c r="S1" s="2" t="s">
        <v>149</v>
      </c>
      <c r="T1" s="2" t="s">
        <v>150</v>
      </c>
      <c r="U1" s="2" t="s">
        <v>151</v>
      </c>
      <c r="V1" s="36" t="s">
        <v>453</v>
      </c>
    </row>
    <row r="2" spans="1:22" ht="15.75" thickBot="1" x14ac:dyDescent="0.3">
      <c r="A2" s="18" t="s">
        <v>155</v>
      </c>
      <c r="B2" s="1" t="s">
        <v>14</v>
      </c>
      <c r="C2" s="1" t="s">
        <v>71</v>
      </c>
      <c r="D2" s="1" t="s">
        <v>23</v>
      </c>
      <c r="E2" s="1" t="s">
        <v>156</v>
      </c>
      <c r="F2" s="1" t="s">
        <v>449</v>
      </c>
      <c r="G2" s="1" t="s">
        <v>157</v>
      </c>
      <c r="H2" s="1" t="s">
        <v>158</v>
      </c>
      <c r="I2" s="37" t="str">
        <f>VLOOKUP(Tbl_PctTrabajoPlanificado[[#This Row],[Orden mantenimiento]],Data!$E$2:$G$101,2,FALSE)</f>
        <v>CO2</v>
      </c>
      <c r="J2" s="37" t="str" cm="1">
        <f t="array" ref="J2">_xlfn.IFS(I2="C81","Pl.Termoelec.Chuq.",I2="C82","Pl.Dist.Energ.Elec",I2="C89","Pl.Mant.Ind.Electr",I2="CO0","Concentradora A0",I2="CO1","Concentradora A1",I2="CO2","Concentradora A2",I2="CB1","SAE Centralizado",I2="C71","Pl.Maestranza.Cent",I2="C72","Pl.Calderería.Cent",I2="C74","CONTRATOS METALMEC",I2="C40","Planif. Refinería",I2="SAPCI","SAPCI",TRUE,"Código no encontrado")</f>
        <v>Concentradora A2</v>
      </c>
      <c r="K2" s="1" t="s">
        <v>159</v>
      </c>
      <c r="L2" s="1" t="s">
        <v>160</v>
      </c>
      <c r="M2" s="1" t="s">
        <v>161</v>
      </c>
      <c r="N2" s="1" t="s">
        <v>104</v>
      </c>
      <c r="O2" s="37">
        <f>Tbl_PctTrabajoPlanificado[[#This Row],[Fecha inicio real]]-Tbl_PctTrabajoPlanificado[[#This Row],[Fecha Libera Orden]]</f>
        <v>0</v>
      </c>
      <c r="P2" s="3">
        <v>46157</v>
      </c>
      <c r="Q2" s="3">
        <v>46157</v>
      </c>
      <c r="R2" s="1" t="s">
        <v>23</v>
      </c>
      <c r="S2" s="6"/>
      <c r="T2" s="6"/>
      <c r="U2" s="7">
        <v>70</v>
      </c>
      <c r="V2" t="s">
        <v>463</v>
      </c>
    </row>
    <row r="3" spans="1:22" ht="15.75" thickBot="1" x14ac:dyDescent="0.3">
      <c r="A3" s="18" t="s">
        <v>155</v>
      </c>
      <c r="B3" s="1" t="s">
        <v>14</v>
      </c>
      <c r="C3" s="1" t="s">
        <v>15</v>
      </c>
      <c r="D3" s="1" t="s">
        <v>16</v>
      </c>
      <c r="E3" s="1" t="s">
        <v>25</v>
      </c>
      <c r="F3" s="1" t="s">
        <v>444</v>
      </c>
      <c r="G3" s="1" t="s">
        <v>100</v>
      </c>
      <c r="H3" s="1" t="s">
        <v>99</v>
      </c>
      <c r="I3" s="37" t="str">
        <f>VLOOKUP(Tbl_PctTrabajoPlanificado[[#This Row],[Orden mantenimiento]],Data!$E$2:$G$101,2,FALSE)</f>
        <v>C82</v>
      </c>
      <c r="J3" s="37" t="str" cm="1">
        <f t="array" ref="J3">_xlfn.IFS(I3="C81","Pl.Termoelec.Chuq.",I3="C82","Pl.Dist.Energ.Elec",I3="C89","Pl.Mant.Ind.Electr",I3="CO0","Concentradora A0",I3="CO1","Concentradora A1",I3="CO2","Concentradora A2",I3="CB1","SAE Centralizado",I3="C71","Pl.Maestranza.Cent",I3="C72","Pl.Calderería.Cent",I3="C74","CONTRATOS METALMEC",I3="C40","Planif. Refinería",I3="SAPCI","SAPCI",TRUE,"Código no encontrado")</f>
        <v>Pl.Dist.Energ.Elec</v>
      </c>
      <c r="K3" s="1" t="s">
        <v>162</v>
      </c>
      <c r="L3" s="1" t="s">
        <v>163</v>
      </c>
      <c r="M3" s="1" t="s">
        <v>164</v>
      </c>
      <c r="N3" s="1" t="s">
        <v>52</v>
      </c>
      <c r="O3" s="37">
        <f>Tbl_PctTrabajoPlanificado[[#This Row],[Fecha inicio real]]-Tbl_PctTrabajoPlanificado[[#This Row],[Fecha Libera Orden]]</f>
        <v>8</v>
      </c>
      <c r="P3" s="3">
        <v>46147</v>
      </c>
      <c r="Q3" s="3">
        <v>46155</v>
      </c>
      <c r="R3" s="1" t="s">
        <v>165</v>
      </c>
      <c r="S3" s="9">
        <v>100</v>
      </c>
      <c r="T3" s="7">
        <v>22</v>
      </c>
      <c r="U3" s="7">
        <v>22</v>
      </c>
      <c r="V3" t="s">
        <v>464</v>
      </c>
    </row>
    <row r="4" spans="1:22" ht="15.75" thickBot="1" x14ac:dyDescent="0.3">
      <c r="A4" s="18" t="s">
        <v>155</v>
      </c>
      <c r="B4" s="1" t="s">
        <v>14</v>
      </c>
      <c r="C4" s="1" t="s">
        <v>15</v>
      </c>
      <c r="D4" s="1" t="s">
        <v>16</v>
      </c>
      <c r="E4" s="1" t="s">
        <v>25</v>
      </c>
      <c r="F4" s="1" t="s">
        <v>444</v>
      </c>
      <c r="G4" s="1" t="s">
        <v>100</v>
      </c>
      <c r="H4" s="1" t="s">
        <v>99</v>
      </c>
      <c r="I4" s="37" t="str">
        <f>VLOOKUP(Tbl_PctTrabajoPlanificado[[#This Row],[Orden mantenimiento]],Data!$E$2:$G$101,2,FALSE)</f>
        <v>C82</v>
      </c>
      <c r="J4" s="37" t="str" cm="1">
        <f t="array" ref="J4">_xlfn.IFS(I4="C81","Pl.Termoelec.Chuq.",I4="C82","Pl.Dist.Energ.Elec",I4="C89","Pl.Mant.Ind.Electr",I4="CO0","Concentradora A0",I4="CO1","Concentradora A1",I4="CO2","Concentradora A2",I4="CB1","SAE Centralizado",I4="C71","Pl.Maestranza.Cent",I4="C72","Pl.Calderería.Cent",I4="C74","CONTRATOS METALMEC",I4="C40","Planif. Refinería",I4="SAPCI","SAPCI",TRUE,"Código no encontrado")</f>
        <v>Pl.Dist.Energ.Elec</v>
      </c>
      <c r="K4" s="1" t="s">
        <v>162</v>
      </c>
      <c r="L4" s="1" t="s">
        <v>163</v>
      </c>
      <c r="M4" s="1" t="s">
        <v>164</v>
      </c>
      <c r="N4" s="1" t="s">
        <v>52</v>
      </c>
      <c r="O4" s="37">
        <f>Tbl_PctTrabajoPlanificado[[#This Row],[Fecha inicio real]]-Tbl_PctTrabajoPlanificado[[#This Row],[Fecha Libera Orden]]</f>
        <v>9</v>
      </c>
      <c r="P4" s="3">
        <v>46147</v>
      </c>
      <c r="Q4" s="3">
        <v>46156</v>
      </c>
      <c r="R4" s="1" t="s">
        <v>165</v>
      </c>
      <c r="S4" s="10">
        <v>100</v>
      </c>
      <c r="T4" s="11">
        <v>22</v>
      </c>
      <c r="U4" s="11">
        <v>22</v>
      </c>
      <c r="V4" t="s">
        <v>464</v>
      </c>
    </row>
    <row r="5" spans="1:22" ht="15.75" thickBot="1" x14ac:dyDescent="0.3">
      <c r="A5" s="18" t="s">
        <v>155</v>
      </c>
      <c r="B5" s="1" t="s">
        <v>14</v>
      </c>
      <c r="C5" s="1" t="s">
        <v>15</v>
      </c>
      <c r="D5" s="1" t="s">
        <v>16</v>
      </c>
      <c r="E5" s="1" t="s">
        <v>25</v>
      </c>
      <c r="F5" s="1" t="s">
        <v>444</v>
      </c>
      <c r="G5" s="1" t="s">
        <v>100</v>
      </c>
      <c r="H5" s="1" t="s">
        <v>99</v>
      </c>
      <c r="I5" s="37" t="str">
        <f>VLOOKUP(Tbl_PctTrabajoPlanificado[[#This Row],[Orden mantenimiento]],Data!$E$2:$G$101,2,FALSE)</f>
        <v>C82</v>
      </c>
      <c r="J5" s="37" t="str" cm="1">
        <f t="array" ref="J5">_xlfn.IFS(I5="C81","Pl.Termoelec.Chuq.",I5="C82","Pl.Dist.Energ.Elec",I5="C89","Pl.Mant.Ind.Electr",I5="CO0","Concentradora A0",I5="CO1","Concentradora A1",I5="CO2","Concentradora A2",I5="CB1","SAE Centralizado",I5="C71","Pl.Maestranza.Cent",I5="C72","Pl.Calderería.Cent",I5="C74","CONTRATOS METALMEC",I5="C40","Planif. Refinería",I5="SAPCI","SAPCI",TRUE,"Código no encontrado")</f>
        <v>Pl.Dist.Energ.Elec</v>
      </c>
      <c r="K5" s="1" t="s">
        <v>162</v>
      </c>
      <c r="L5" s="1" t="s">
        <v>163</v>
      </c>
      <c r="M5" s="1" t="s">
        <v>164</v>
      </c>
      <c r="N5" s="1" t="s">
        <v>52</v>
      </c>
      <c r="O5" s="37">
        <f>Tbl_PctTrabajoPlanificado[[#This Row],[Fecha inicio real]]-Tbl_PctTrabajoPlanificado[[#This Row],[Fecha Libera Orden]]</f>
        <v>10</v>
      </c>
      <c r="P5" s="3">
        <v>46147</v>
      </c>
      <c r="Q5" s="3">
        <v>46157</v>
      </c>
      <c r="R5" s="1" t="s">
        <v>165</v>
      </c>
      <c r="S5" s="9">
        <v>100</v>
      </c>
      <c r="T5" s="7">
        <v>20</v>
      </c>
      <c r="U5" s="7">
        <v>20</v>
      </c>
      <c r="V5" t="s">
        <v>464</v>
      </c>
    </row>
    <row r="6" spans="1:22" ht="15.75" thickBot="1" x14ac:dyDescent="0.3">
      <c r="A6" s="18" t="s">
        <v>155</v>
      </c>
      <c r="B6" s="1" t="s">
        <v>14</v>
      </c>
      <c r="C6" s="1" t="s">
        <v>15</v>
      </c>
      <c r="D6" s="1" t="s">
        <v>16</v>
      </c>
      <c r="E6" s="1" t="s">
        <v>25</v>
      </c>
      <c r="F6" s="1" t="s">
        <v>444</v>
      </c>
      <c r="G6" s="1" t="s">
        <v>100</v>
      </c>
      <c r="H6" s="1" t="s">
        <v>99</v>
      </c>
      <c r="I6" s="37" t="str">
        <f>VLOOKUP(Tbl_PctTrabajoPlanificado[[#This Row],[Orden mantenimiento]],Data!$E$2:$G$101,2,FALSE)</f>
        <v>C82</v>
      </c>
      <c r="J6" s="37" t="str" cm="1">
        <f t="array" ref="J6">_xlfn.IFS(I6="C81","Pl.Termoelec.Chuq.",I6="C82","Pl.Dist.Energ.Elec",I6="C89","Pl.Mant.Ind.Electr",I6="CO0","Concentradora A0",I6="CO1","Concentradora A1",I6="CO2","Concentradora A2",I6="CB1","SAE Centralizado",I6="C71","Pl.Maestranza.Cent",I6="C72","Pl.Calderería.Cent",I6="C74","CONTRATOS METALMEC",I6="C40","Planif. Refinería",I6="SAPCI","SAPCI",TRUE,"Código no encontrado")</f>
        <v>Pl.Dist.Energ.Elec</v>
      </c>
      <c r="K6" s="1" t="s">
        <v>166</v>
      </c>
      <c r="L6" s="1" t="s">
        <v>167</v>
      </c>
      <c r="M6" s="1" t="s">
        <v>164</v>
      </c>
      <c r="N6" s="1" t="s">
        <v>52</v>
      </c>
      <c r="O6" s="37">
        <f>Tbl_PctTrabajoPlanificado[[#This Row],[Fecha inicio real]]-Tbl_PctTrabajoPlanificado[[#This Row],[Fecha Libera Orden]]</f>
        <v>11</v>
      </c>
      <c r="P6" s="3">
        <v>46146</v>
      </c>
      <c r="Q6" s="3">
        <v>46157</v>
      </c>
      <c r="R6" s="1" t="s">
        <v>168</v>
      </c>
      <c r="S6" s="10">
        <v>100</v>
      </c>
      <c r="T6" s="11">
        <v>44</v>
      </c>
      <c r="U6" s="11">
        <v>44</v>
      </c>
      <c r="V6" t="s">
        <v>464</v>
      </c>
    </row>
    <row r="7" spans="1:22" ht="15.75" thickBot="1" x14ac:dyDescent="0.3">
      <c r="A7" s="18" t="s">
        <v>155</v>
      </c>
      <c r="B7" s="1" t="s">
        <v>14</v>
      </c>
      <c r="C7" s="1" t="s">
        <v>15</v>
      </c>
      <c r="D7" s="1" t="s">
        <v>16</v>
      </c>
      <c r="E7" s="1" t="s">
        <v>25</v>
      </c>
      <c r="F7" s="1" t="s">
        <v>444</v>
      </c>
      <c r="G7" s="1" t="s">
        <v>124</v>
      </c>
      <c r="H7" s="1" t="s">
        <v>123</v>
      </c>
      <c r="I7" s="37" t="str">
        <f>VLOOKUP(Tbl_PctTrabajoPlanificado[[#This Row],[Orden mantenimiento]],Data!$E$2:$G$101,2,FALSE)</f>
        <v>C82</v>
      </c>
      <c r="J7" s="37" t="str" cm="1">
        <f t="array" ref="J7">_xlfn.IFS(I7="C81","Pl.Termoelec.Chuq.",I7="C82","Pl.Dist.Energ.Elec",I7="C89","Pl.Mant.Ind.Electr",I7="CO0","Concentradora A0",I7="CO1","Concentradora A1",I7="CO2","Concentradora A2",I7="CB1","SAE Centralizado",I7="C71","Pl.Maestranza.Cent",I7="C72","Pl.Calderería.Cent",I7="C74","CONTRATOS METALMEC",I7="C40","Planif. Refinería",I7="SAPCI","SAPCI",TRUE,"Código no encontrado")</f>
        <v>Pl.Dist.Energ.Elec</v>
      </c>
      <c r="K7" s="1" t="s">
        <v>169</v>
      </c>
      <c r="L7" s="1" t="s">
        <v>170</v>
      </c>
      <c r="M7" s="1" t="s">
        <v>164</v>
      </c>
      <c r="N7" s="1" t="s">
        <v>52</v>
      </c>
      <c r="O7" s="37">
        <f>Tbl_PctTrabajoPlanificado[[#This Row],[Fecha inicio real]]-Tbl_PctTrabajoPlanificado[[#This Row],[Fecha Libera Orden]]</f>
        <v>14</v>
      </c>
      <c r="P7" s="3">
        <v>46139</v>
      </c>
      <c r="Q7" s="3">
        <v>46153</v>
      </c>
      <c r="R7" s="1" t="s">
        <v>171</v>
      </c>
      <c r="S7" s="9">
        <v>100</v>
      </c>
      <c r="T7" s="7">
        <v>44</v>
      </c>
      <c r="U7" s="7">
        <v>44</v>
      </c>
      <c r="V7" t="s">
        <v>464</v>
      </c>
    </row>
    <row r="8" spans="1:22" ht="15.75" thickBot="1" x14ac:dyDescent="0.3">
      <c r="A8" s="18" t="s">
        <v>155</v>
      </c>
      <c r="B8" s="1" t="s">
        <v>14</v>
      </c>
      <c r="C8" s="1" t="s">
        <v>15</v>
      </c>
      <c r="D8" s="1" t="s">
        <v>16</v>
      </c>
      <c r="E8" s="1" t="s">
        <v>25</v>
      </c>
      <c r="F8" s="1" t="s">
        <v>444</v>
      </c>
      <c r="G8" s="1" t="s">
        <v>124</v>
      </c>
      <c r="H8" s="1" t="s">
        <v>123</v>
      </c>
      <c r="I8" s="37" t="str">
        <f>VLOOKUP(Tbl_PctTrabajoPlanificado[[#This Row],[Orden mantenimiento]],Data!$E$2:$G$101,2,FALSE)</f>
        <v>C82</v>
      </c>
      <c r="J8" s="37" t="str" cm="1">
        <f t="array" ref="J8">_xlfn.IFS(I8="C81","Pl.Termoelec.Chuq.",I8="C82","Pl.Dist.Energ.Elec",I8="C89","Pl.Mant.Ind.Electr",I8="CO0","Concentradora A0",I8="CO1","Concentradora A1",I8="CO2","Concentradora A2",I8="CB1","SAE Centralizado",I8="C71","Pl.Maestranza.Cent",I8="C72","Pl.Calderería.Cent",I8="C74","CONTRATOS METALMEC",I8="C40","Planif. Refinería",I8="SAPCI","SAPCI",TRUE,"Código no encontrado")</f>
        <v>Pl.Dist.Energ.Elec</v>
      </c>
      <c r="K8" s="1" t="s">
        <v>172</v>
      </c>
      <c r="L8" s="1" t="s">
        <v>173</v>
      </c>
      <c r="M8" s="1" t="s">
        <v>174</v>
      </c>
      <c r="N8" s="1" t="s">
        <v>52</v>
      </c>
      <c r="O8" s="37">
        <f>Tbl_PctTrabajoPlanificado[[#This Row],[Fecha inicio real]]-Tbl_PctTrabajoPlanificado[[#This Row],[Fecha Libera Orden]]</f>
        <v>15</v>
      </c>
      <c r="P8" s="3">
        <v>46139</v>
      </c>
      <c r="Q8" s="3">
        <v>46154</v>
      </c>
      <c r="R8" s="1" t="s">
        <v>171</v>
      </c>
      <c r="S8" s="10">
        <v>100</v>
      </c>
      <c r="T8" s="11">
        <v>44</v>
      </c>
      <c r="U8" s="11">
        <v>44</v>
      </c>
      <c r="V8" t="s">
        <v>464</v>
      </c>
    </row>
    <row r="9" spans="1:22" ht="15.75" thickBot="1" x14ac:dyDescent="0.3">
      <c r="A9" s="18" t="s">
        <v>155</v>
      </c>
      <c r="B9" s="1" t="s">
        <v>14</v>
      </c>
      <c r="C9" s="1" t="s">
        <v>15</v>
      </c>
      <c r="D9" s="1" t="s">
        <v>16</v>
      </c>
      <c r="E9" s="1" t="s">
        <v>25</v>
      </c>
      <c r="F9" s="1" t="s">
        <v>444</v>
      </c>
      <c r="G9" s="1" t="s">
        <v>54</v>
      </c>
      <c r="H9" s="1" t="s">
        <v>53</v>
      </c>
      <c r="I9" s="37" t="str">
        <f>VLOOKUP(Tbl_PctTrabajoPlanificado[[#This Row],[Orden mantenimiento]],Data!$E$2:$G$101,2,FALSE)</f>
        <v>C82</v>
      </c>
      <c r="J9" s="37" t="str" cm="1">
        <f t="array" ref="J9">_xlfn.IFS(I9="C81","Pl.Termoelec.Chuq.",I9="C82","Pl.Dist.Energ.Elec",I9="C89","Pl.Mant.Ind.Electr",I9="CO0","Concentradora A0",I9="CO1","Concentradora A1",I9="CO2","Concentradora A2",I9="CB1","SAE Centralizado",I9="C71","Pl.Maestranza.Cent",I9="C72","Pl.Calderería.Cent",I9="C74","CONTRATOS METALMEC",I9="C40","Planif. Refinería",I9="SAPCI","SAPCI",TRUE,"Código no encontrado")</f>
        <v>Pl.Dist.Energ.Elec</v>
      </c>
      <c r="K9" s="1" t="s">
        <v>175</v>
      </c>
      <c r="L9" s="1" t="s">
        <v>176</v>
      </c>
      <c r="M9" s="1" t="s">
        <v>164</v>
      </c>
      <c r="N9" s="1" t="s">
        <v>52</v>
      </c>
      <c r="O9" s="37">
        <f>Tbl_PctTrabajoPlanificado[[#This Row],[Fecha inicio real]]-Tbl_PctTrabajoPlanificado[[#This Row],[Fecha Libera Orden]]</f>
        <v>10</v>
      </c>
      <c r="P9" s="3">
        <v>46148</v>
      </c>
      <c r="Q9" s="3">
        <v>46158</v>
      </c>
      <c r="R9" s="1" t="s">
        <v>177</v>
      </c>
      <c r="S9" s="9">
        <v>100</v>
      </c>
      <c r="T9" s="7">
        <v>44</v>
      </c>
      <c r="U9" s="7">
        <v>44</v>
      </c>
      <c r="V9" t="s">
        <v>464</v>
      </c>
    </row>
    <row r="10" spans="1:22" ht="15.75" thickBot="1" x14ac:dyDescent="0.3">
      <c r="A10" s="18" t="s">
        <v>155</v>
      </c>
      <c r="B10" s="1" t="s">
        <v>14</v>
      </c>
      <c r="C10" s="1" t="s">
        <v>15</v>
      </c>
      <c r="D10" s="1" t="s">
        <v>16</v>
      </c>
      <c r="E10" s="1" t="s">
        <v>25</v>
      </c>
      <c r="F10" s="1" t="s">
        <v>444</v>
      </c>
      <c r="G10" s="1" t="s">
        <v>54</v>
      </c>
      <c r="H10" s="1" t="s">
        <v>53</v>
      </c>
      <c r="I10" s="37" t="str">
        <f>VLOOKUP(Tbl_PctTrabajoPlanificado[[#This Row],[Orden mantenimiento]],Data!$E$2:$G$101,2,FALSE)</f>
        <v>C82</v>
      </c>
      <c r="J10" s="37" t="str" cm="1">
        <f t="array" ref="J10">_xlfn.IFS(I10="C81","Pl.Termoelec.Chuq.",I10="C82","Pl.Dist.Energ.Elec",I10="C89","Pl.Mant.Ind.Electr",I10="CO0","Concentradora A0",I10="CO1","Concentradora A1",I10="CO2","Concentradora A2",I10="CB1","SAE Centralizado",I10="C71","Pl.Maestranza.Cent",I10="C72","Pl.Calderería.Cent",I10="C74","CONTRATOS METALMEC",I10="C40","Planif. Refinería",I10="SAPCI","SAPCI",TRUE,"Código no encontrado")</f>
        <v>Pl.Dist.Energ.Elec</v>
      </c>
      <c r="K10" s="1" t="s">
        <v>178</v>
      </c>
      <c r="L10" s="1" t="s">
        <v>179</v>
      </c>
      <c r="M10" s="1" t="s">
        <v>164</v>
      </c>
      <c r="N10" s="1" t="s">
        <v>52</v>
      </c>
      <c r="O10" s="37">
        <f>Tbl_PctTrabajoPlanificado[[#This Row],[Fecha inicio real]]-Tbl_PctTrabajoPlanificado[[#This Row],[Fecha Libera Orden]]</f>
        <v>8</v>
      </c>
      <c r="P10" s="3">
        <v>46148</v>
      </c>
      <c r="Q10" s="3">
        <v>46156</v>
      </c>
      <c r="R10" s="1" t="s">
        <v>180</v>
      </c>
      <c r="S10" s="10">
        <v>100</v>
      </c>
      <c r="T10" s="11">
        <v>101</v>
      </c>
      <c r="U10" s="11">
        <v>101</v>
      </c>
      <c r="V10" t="s">
        <v>464</v>
      </c>
    </row>
    <row r="11" spans="1:22" ht="15.75" thickBot="1" x14ac:dyDescent="0.3">
      <c r="A11" s="18" t="s">
        <v>155</v>
      </c>
      <c r="B11" s="1" t="s">
        <v>14</v>
      </c>
      <c r="C11" s="1" t="s">
        <v>15</v>
      </c>
      <c r="D11" s="1" t="s">
        <v>16</v>
      </c>
      <c r="E11" s="1" t="s">
        <v>25</v>
      </c>
      <c r="F11" s="1" t="s">
        <v>444</v>
      </c>
      <c r="G11" s="1" t="s">
        <v>54</v>
      </c>
      <c r="H11" s="1" t="s">
        <v>53</v>
      </c>
      <c r="I11" s="37" t="str">
        <f>VLOOKUP(Tbl_PctTrabajoPlanificado[[#This Row],[Orden mantenimiento]],Data!$E$2:$G$101,2,FALSE)</f>
        <v>C82</v>
      </c>
      <c r="J11" s="37" t="str" cm="1">
        <f t="array" ref="J11">_xlfn.IFS(I11="C81","Pl.Termoelec.Chuq.",I11="C82","Pl.Dist.Energ.Elec",I11="C89","Pl.Mant.Ind.Electr",I11="CO0","Concentradora A0",I11="CO1","Concentradora A1",I11="CO2","Concentradora A2",I11="CB1","SAE Centralizado",I11="C71","Pl.Maestranza.Cent",I11="C72","Pl.Calderería.Cent",I11="C74","CONTRATOS METALMEC",I11="C40","Planif. Refinería",I11="SAPCI","SAPCI",TRUE,"Código no encontrado")</f>
        <v>Pl.Dist.Energ.Elec</v>
      </c>
      <c r="K11" s="1" t="s">
        <v>181</v>
      </c>
      <c r="L11" s="1" t="s">
        <v>182</v>
      </c>
      <c r="M11" s="1" t="s">
        <v>164</v>
      </c>
      <c r="N11" s="1" t="s">
        <v>52</v>
      </c>
      <c r="O11" s="37">
        <f>Tbl_PctTrabajoPlanificado[[#This Row],[Fecha inicio real]]-Tbl_PctTrabajoPlanificado[[#This Row],[Fecha Libera Orden]]</f>
        <v>9</v>
      </c>
      <c r="P11" s="3">
        <v>46147</v>
      </c>
      <c r="Q11" s="3">
        <v>46156</v>
      </c>
      <c r="R11" s="1" t="s">
        <v>183</v>
      </c>
      <c r="S11" s="9">
        <v>100</v>
      </c>
      <c r="T11" s="7">
        <v>15</v>
      </c>
      <c r="U11" s="7">
        <v>15</v>
      </c>
      <c r="V11" t="s">
        <v>464</v>
      </c>
    </row>
    <row r="12" spans="1:22" ht="15.75" thickBot="1" x14ac:dyDescent="0.3">
      <c r="A12" s="18" t="s">
        <v>155</v>
      </c>
      <c r="B12" s="1" t="s">
        <v>14</v>
      </c>
      <c r="C12" s="1" t="s">
        <v>15</v>
      </c>
      <c r="D12" s="1" t="s">
        <v>16</v>
      </c>
      <c r="E12" s="1" t="s">
        <v>25</v>
      </c>
      <c r="F12" s="1" t="s">
        <v>444</v>
      </c>
      <c r="G12" s="1" t="s">
        <v>157</v>
      </c>
      <c r="H12" s="1" t="s">
        <v>158</v>
      </c>
      <c r="I12" s="37" t="str">
        <f>VLOOKUP(Tbl_PctTrabajoPlanificado[[#This Row],[Orden mantenimiento]],Data!$E$2:$G$101,2,FALSE)</f>
        <v>C82</v>
      </c>
      <c r="J12" s="37" t="str" cm="1">
        <f t="array" ref="J12">_xlfn.IFS(I12="C81","Pl.Termoelec.Chuq.",I12="C82","Pl.Dist.Energ.Elec",I12="C89","Pl.Mant.Ind.Electr",I12="CO0","Concentradora A0",I12="CO1","Concentradora A1",I12="CO2","Concentradora A2",I12="CB1","SAE Centralizado",I12="C71","Pl.Maestranza.Cent",I12="C72","Pl.Calderería.Cent",I12="C74","CONTRATOS METALMEC",I12="C40","Planif. Refinería",I12="SAPCI","SAPCI",TRUE,"Código no encontrado")</f>
        <v>Pl.Dist.Energ.Elec</v>
      </c>
      <c r="K12" s="1" t="s">
        <v>184</v>
      </c>
      <c r="L12" s="1" t="s">
        <v>185</v>
      </c>
      <c r="M12" s="1" t="s">
        <v>186</v>
      </c>
      <c r="N12" s="1" t="s">
        <v>104</v>
      </c>
      <c r="O12" s="37">
        <f>Tbl_PctTrabajoPlanificado[[#This Row],[Fecha inicio real]]-Tbl_PctTrabajoPlanificado[[#This Row],[Fecha Libera Orden]]</f>
        <v>0</v>
      </c>
      <c r="P12" s="3">
        <v>46154</v>
      </c>
      <c r="Q12" s="3">
        <v>46154</v>
      </c>
      <c r="R12" s="1" t="s">
        <v>23</v>
      </c>
      <c r="S12" s="12"/>
      <c r="T12" s="12"/>
      <c r="U12" s="11">
        <v>4</v>
      </c>
      <c r="V12" t="s">
        <v>463</v>
      </c>
    </row>
    <row r="13" spans="1:22" ht="15.75" thickBot="1" x14ac:dyDescent="0.3">
      <c r="A13" s="18" t="s">
        <v>155</v>
      </c>
      <c r="B13" s="1" t="s">
        <v>14</v>
      </c>
      <c r="C13" s="1" t="s">
        <v>15</v>
      </c>
      <c r="D13" s="1" t="s">
        <v>35</v>
      </c>
      <c r="E13" s="1" t="s">
        <v>25</v>
      </c>
      <c r="F13" s="1" t="s">
        <v>444</v>
      </c>
      <c r="G13" s="1" t="s">
        <v>100</v>
      </c>
      <c r="H13" s="1" t="s">
        <v>99</v>
      </c>
      <c r="I13" s="37" t="str">
        <f>VLOOKUP(Tbl_PctTrabajoPlanificado[[#This Row],[Orden mantenimiento]],Data!$E$2:$G$101,2,FALSE)</f>
        <v>C82</v>
      </c>
      <c r="J13" s="37" t="str" cm="1">
        <f t="array" ref="J13">_xlfn.IFS(I13="C81","Pl.Termoelec.Chuq.",I13="C82","Pl.Dist.Energ.Elec",I13="C89","Pl.Mant.Ind.Electr",I13="CO0","Concentradora A0",I13="CO1","Concentradora A1",I13="CO2","Concentradora A2",I13="CB1","SAE Centralizado",I13="C71","Pl.Maestranza.Cent",I13="C72","Pl.Calderería.Cent",I13="C74","CONTRATOS METALMEC",I13="C40","Planif. Refinería",I13="SAPCI","SAPCI",TRUE,"Código no encontrado")</f>
        <v>Pl.Dist.Energ.Elec</v>
      </c>
      <c r="K13" s="1" t="s">
        <v>187</v>
      </c>
      <c r="L13" s="1" t="s">
        <v>188</v>
      </c>
      <c r="M13" s="1" t="s">
        <v>164</v>
      </c>
      <c r="N13" s="1" t="s">
        <v>52</v>
      </c>
      <c r="O13" s="37">
        <f>Tbl_PctTrabajoPlanificado[[#This Row],[Fecha inicio real]]-Tbl_PctTrabajoPlanificado[[#This Row],[Fecha Libera Orden]]</f>
        <v>18</v>
      </c>
      <c r="P13" s="3">
        <v>46139</v>
      </c>
      <c r="Q13" s="3">
        <v>46157</v>
      </c>
      <c r="R13" s="1" t="s">
        <v>189</v>
      </c>
      <c r="S13" s="9">
        <v>100</v>
      </c>
      <c r="T13" s="7">
        <v>24</v>
      </c>
      <c r="U13" s="7">
        <v>24</v>
      </c>
      <c r="V13" t="s">
        <v>464</v>
      </c>
    </row>
    <row r="14" spans="1:22" ht="15.75" thickBot="1" x14ac:dyDescent="0.3">
      <c r="A14" s="18" t="s">
        <v>155</v>
      </c>
      <c r="B14" s="1" t="s">
        <v>14</v>
      </c>
      <c r="C14" s="1" t="s">
        <v>15</v>
      </c>
      <c r="D14" s="1" t="s">
        <v>35</v>
      </c>
      <c r="E14" s="1" t="s">
        <v>25</v>
      </c>
      <c r="F14" s="1" t="s">
        <v>444</v>
      </c>
      <c r="G14" s="1" t="s">
        <v>100</v>
      </c>
      <c r="H14" s="1" t="s">
        <v>99</v>
      </c>
      <c r="I14" s="37" t="str">
        <f>VLOOKUP(Tbl_PctTrabajoPlanificado[[#This Row],[Orden mantenimiento]],Data!$E$2:$G$101,2,FALSE)</f>
        <v>C82</v>
      </c>
      <c r="J14" s="37" t="str" cm="1">
        <f t="array" ref="J14">_xlfn.IFS(I14="C81","Pl.Termoelec.Chuq.",I14="C82","Pl.Dist.Energ.Elec",I14="C89","Pl.Mant.Ind.Electr",I14="CO0","Concentradora A0",I14="CO1","Concentradora A1",I14="CO2","Concentradora A2",I14="CB1","SAE Centralizado",I14="C71","Pl.Maestranza.Cent",I14="C72","Pl.Calderería.Cent",I14="C74","CONTRATOS METALMEC",I14="C40","Planif. Refinería",I14="SAPCI","SAPCI",TRUE,"Código no encontrado")</f>
        <v>Pl.Dist.Energ.Elec</v>
      </c>
      <c r="K14" s="1" t="s">
        <v>190</v>
      </c>
      <c r="L14" s="1" t="s">
        <v>191</v>
      </c>
      <c r="M14" s="1" t="s">
        <v>164</v>
      </c>
      <c r="N14" s="1" t="s">
        <v>52</v>
      </c>
      <c r="O14" s="37">
        <f>Tbl_PctTrabajoPlanificado[[#This Row],[Fecha inicio real]]-Tbl_PctTrabajoPlanificado[[#This Row],[Fecha Libera Orden]]</f>
        <v>19</v>
      </c>
      <c r="P14" s="3">
        <v>46139</v>
      </c>
      <c r="Q14" s="3">
        <v>46158</v>
      </c>
      <c r="R14" s="1" t="s">
        <v>189</v>
      </c>
      <c r="S14" s="10">
        <v>100</v>
      </c>
      <c r="T14" s="11">
        <v>24</v>
      </c>
      <c r="U14" s="11">
        <v>24</v>
      </c>
      <c r="V14" t="s">
        <v>464</v>
      </c>
    </row>
    <row r="15" spans="1:22" ht="15.75" thickBot="1" x14ac:dyDescent="0.3">
      <c r="A15" s="18" t="s">
        <v>155</v>
      </c>
      <c r="B15" s="1" t="s">
        <v>14</v>
      </c>
      <c r="C15" s="1" t="s">
        <v>15</v>
      </c>
      <c r="D15" s="1" t="s">
        <v>35</v>
      </c>
      <c r="E15" s="1" t="s">
        <v>25</v>
      </c>
      <c r="F15" s="1" t="s">
        <v>444</v>
      </c>
      <c r="G15" s="1" t="s">
        <v>100</v>
      </c>
      <c r="H15" s="1" t="s">
        <v>99</v>
      </c>
      <c r="I15" s="37" t="str">
        <f>VLOOKUP(Tbl_PctTrabajoPlanificado[[#This Row],[Orden mantenimiento]],Data!$E$2:$G$101,2,FALSE)</f>
        <v>C82</v>
      </c>
      <c r="J15" s="37" t="str" cm="1">
        <f t="array" ref="J15">_xlfn.IFS(I15="C81","Pl.Termoelec.Chuq.",I15="C82","Pl.Dist.Energ.Elec",I15="C89","Pl.Mant.Ind.Electr",I15="CO0","Concentradora A0",I15="CO1","Concentradora A1",I15="CO2","Concentradora A2",I15="CB1","SAE Centralizado",I15="C71","Pl.Maestranza.Cent",I15="C72","Pl.Calderería.Cent",I15="C74","CONTRATOS METALMEC",I15="C40","Planif. Refinería",I15="SAPCI","SAPCI",TRUE,"Código no encontrado")</f>
        <v>Pl.Dist.Energ.Elec</v>
      </c>
      <c r="K15" s="1" t="s">
        <v>192</v>
      </c>
      <c r="L15" s="1" t="s">
        <v>193</v>
      </c>
      <c r="M15" s="1" t="s">
        <v>164</v>
      </c>
      <c r="N15" s="1" t="s">
        <v>52</v>
      </c>
      <c r="O15" s="37">
        <f>Tbl_PctTrabajoPlanificado[[#This Row],[Fecha inicio real]]-Tbl_PctTrabajoPlanificado[[#This Row],[Fecha Libera Orden]]</f>
        <v>18</v>
      </c>
      <c r="P15" s="3">
        <v>46139</v>
      </c>
      <c r="Q15" s="3">
        <v>46157</v>
      </c>
      <c r="R15" s="1" t="s">
        <v>194</v>
      </c>
      <c r="S15" s="9">
        <v>100</v>
      </c>
      <c r="T15" s="7">
        <v>6</v>
      </c>
      <c r="U15" s="7">
        <v>6</v>
      </c>
      <c r="V15" t="s">
        <v>464</v>
      </c>
    </row>
    <row r="16" spans="1:22" ht="15.75" thickBot="1" x14ac:dyDescent="0.3">
      <c r="A16" s="18" t="s">
        <v>155</v>
      </c>
      <c r="B16" s="1" t="s">
        <v>14</v>
      </c>
      <c r="C16" s="1" t="s">
        <v>15</v>
      </c>
      <c r="D16" s="1" t="s">
        <v>35</v>
      </c>
      <c r="E16" s="1" t="s">
        <v>25</v>
      </c>
      <c r="F16" s="1" t="s">
        <v>444</v>
      </c>
      <c r="G16" s="1" t="s">
        <v>100</v>
      </c>
      <c r="H16" s="1" t="s">
        <v>99</v>
      </c>
      <c r="I16" s="37" t="str">
        <f>VLOOKUP(Tbl_PctTrabajoPlanificado[[#This Row],[Orden mantenimiento]],Data!$E$2:$G$101,2,FALSE)</f>
        <v>C82</v>
      </c>
      <c r="J16" s="37" t="str" cm="1">
        <f t="array" ref="J16">_xlfn.IFS(I16="C81","Pl.Termoelec.Chuq.",I16="C82","Pl.Dist.Energ.Elec",I16="C89","Pl.Mant.Ind.Electr",I16="CO0","Concentradora A0",I16="CO1","Concentradora A1",I16="CO2","Concentradora A2",I16="CB1","SAE Centralizado",I16="C71","Pl.Maestranza.Cent",I16="C72","Pl.Calderería.Cent",I16="C74","CONTRATOS METALMEC",I16="C40","Planif. Refinería",I16="SAPCI","SAPCI",TRUE,"Código no encontrado")</f>
        <v>Pl.Dist.Energ.Elec</v>
      </c>
      <c r="K16" s="1" t="s">
        <v>195</v>
      </c>
      <c r="L16" s="1" t="s">
        <v>196</v>
      </c>
      <c r="M16" s="1" t="s">
        <v>164</v>
      </c>
      <c r="N16" s="1" t="s">
        <v>52</v>
      </c>
      <c r="O16" s="37">
        <f>Tbl_PctTrabajoPlanificado[[#This Row],[Fecha inicio real]]-Tbl_PctTrabajoPlanificado[[#This Row],[Fecha Libera Orden]]</f>
        <v>19</v>
      </c>
      <c r="P16" s="3">
        <v>46139</v>
      </c>
      <c r="Q16" s="3">
        <v>46158</v>
      </c>
      <c r="R16" s="1" t="s">
        <v>194</v>
      </c>
      <c r="S16" s="10">
        <v>100</v>
      </c>
      <c r="T16" s="11">
        <v>6</v>
      </c>
      <c r="U16" s="11">
        <v>6</v>
      </c>
      <c r="V16" t="s">
        <v>464</v>
      </c>
    </row>
    <row r="17" spans="1:22" ht="15.75" thickBot="1" x14ac:dyDescent="0.3">
      <c r="A17" s="18" t="s">
        <v>155</v>
      </c>
      <c r="B17" s="1" t="s">
        <v>14</v>
      </c>
      <c r="C17" s="1" t="s">
        <v>15</v>
      </c>
      <c r="D17" s="1" t="s">
        <v>35</v>
      </c>
      <c r="E17" s="1" t="s">
        <v>25</v>
      </c>
      <c r="F17" s="1" t="s">
        <v>444</v>
      </c>
      <c r="G17" s="1" t="s">
        <v>124</v>
      </c>
      <c r="H17" s="1" t="s">
        <v>123</v>
      </c>
      <c r="I17" s="37" t="str">
        <f>VLOOKUP(Tbl_PctTrabajoPlanificado[[#This Row],[Orden mantenimiento]],Data!$E$2:$G$101,2,FALSE)</f>
        <v>C82</v>
      </c>
      <c r="J17" s="37" t="str" cm="1">
        <f t="array" ref="J17">_xlfn.IFS(I17="C81","Pl.Termoelec.Chuq.",I17="C82","Pl.Dist.Energ.Elec",I17="C89","Pl.Mant.Ind.Electr",I17="CO0","Concentradora A0",I17="CO1","Concentradora A1",I17="CO2","Concentradora A2",I17="CB1","SAE Centralizado",I17="C71","Pl.Maestranza.Cent",I17="C72","Pl.Calderería.Cent",I17="C74","CONTRATOS METALMEC",I17="C40","Planif. Refinería",I17="SAPCI","SAPCI",TRUE,"Código no encontrado")</f>
        <v>Pl.Dist.Energ.Elec</v>
      </c>
      <c r="K17" s="1" t="s">
        <v>197</v>
      </c>
      <c r="L17" s="1" t="s">
        <v>198</v>
      </c>
      <c r="M17" s="1" t="s">
        <v>164</v>
      </c>
      <c r="N17" s="1" t="s">
        <v>52</v>
      </c>
      <c r="O17" s="37">
        <f>Tbl_PctTrabajoPlanificado[[#This Row],[Fecha inicio real]]-Tbl_PctTrabajoPlanificado[[#This Row],[Fecha Libera Orden]]</f>
        <v>13</v>
      </c>
      <c r="P17" s="3">
        <v>46146</v>
      </c>
      <c r="Q17" s="3">
        <v>46159</v>
      </c>
      <c r="R17" s="1" t="s">
        <v>199</v>
      </c>
      <c r="S17" s="9">
        <v>100</v>
      </c>
      <c r="T17" s="7">
        <v>4</v>
      </c>
      <c r="U17" s="7">
        <v>4</v>
      </c>
      <c r="V17" t="s">
        <v>464</v>
      </c>
    </row>
    <row r="18" spans="1:22" ht="15.75" thickBot="1" x14ac:dyDescent="0.3">
      <c r="A18" s="18" t="s">
        <v>155</v>
      </c>
      <c r="B18" s="1" t="s">
        <v>14</v>
      </c>
      <c r="C18" s="1" t="s">
        <v>15</v>
      </c>
      <c r="D18" s="1" t="s">
        <v>35</v>
      </c>
      <c r="E18" s="1" t="s">
        <v>25</v>
      </c>
      <c r="F18" s="1" t="s">
        <v>444</v>
      </c>
      <c r="G18" s="1" t="s">
        <v>124</v>
      </c>
      <c r="H18" s="1" t="s">
        <v>123</v>
      </c>
      <c r="I18" s="37" t="str">
        <f>VLOOKUP(Tbl_PctTrabajoPlanificado[[#This Row],[Orden mantenimiento]],Data!$E$2:$G$101,2,FALSE)</f>
        <v>C82</v>
      </c>
      <c r="J18" s="37" t="str" cm="1">
        <f t="array" ref="J18">_xlfn.IFS(I18="C81","Pl.Termoelec.Chuq.",I18="C82","Pl.Dist.Energ.Elec",I18="C89","Pl.Mant.Ind.Electr",I18="CO0","Concentradora A0",I18="CO1","Concentradora A1",I18="CO2","Concentradora A2",I18="CB1","SAE Centralizado",I18="C71","Pl.Maestranza.Cent",I18="C72","Pl.Calderería.Cent",I18="C74","CONTRATOS METALMEC",I18="C40","Planif. Refinería",I18="SAPCI","SAPCI",TRUE,"Código no encontrado")</f>
        <v>Pl.Dist.Energ.Elec</v>
      </c>
      <c r="K18" s="1" t="s">
        <v>200</v>
      </c>
      <c r="L18" s="1" t="s">
        <v>201</v>
      </c>
      <c r="M18" s="1" t="s">
        <v>164</v>
      </c>
      <c r="N18" s="1" t="s">
        <v>52</v>
      </c>
      <c r="O18" s="37">
        <f>Tbl_PctTrabajoPlanificado[[#This Row],[Fecha inicio real]]-Tbl_PctTrabajoPlanificado[[#This Row],[Fecha Libera Orden]]</f>
        <v>13</v>
      </c>
      <c r="P18" s="3">
        <v>46146</v>
      </c>
      <c r="Q18" s="3">
        <v>46159</v>
      </c>
      <c r="R18" s="1" t="s">
        <v>199</v>
      </c>
      <c r="S18" s="10">
        <v>100</v>
      </c>
      <c r="T18" s="11">
        <v>9</v>
      </c>
      <c r="U18" s="11">
        <v>9</v>
      </c>
      <c r="V18" t="s">
        <v>464</v>
      </c>
    </row>
    <row r="19" spans="1:22" ht="15.75" thickBot="1" x14ac:dyDescent="0.3">
      <c r="A19" s="18" t="s">
        <v>155</v>
      </c>
      <c r="B19" s="1" t="s">
        <v>14</v>
      </c>
      <c r="C19" s="1" t="s">
        <v>15</v>
      </c>
      <c r="D19" s="1" t="s">
        <v>35</v>
      </c>
      <c r="E19" s="1" t="s">
        <v>25</v>
      </c>
      <c r="F19" s="1" t="s">
        <v>444</v>
      </c>
      <c r="G19" s="1" t="s">
        <v>124</v>
      </c>
      <c r="H19" s="1" t="s">
        <v>123</v>
      </c>
      <c r="I19" s="37" t="str">
        <f>VLOOKUP(Tbl_PctTrabajoPlanificado[[#This Row],[Orden mantenimiento]],Data!$E$2:$G$101,2,FALSE)</f>
        <v>C82</v>
      </c>
      <c r="J19" s="37" t="str" cm="1">
        <f t="array" ref="J19">_xlfn.IFS(I19="C81","Pl.Termoelec.Chuq.",I19="C82","Pl.Dist.Energ.Elec",I19="C89","Pl.Mant.Ind.Electr",I19="CO0","Concentradora A0",I19="CO1","Concentradora A1",I19="CO2","Concentradora A2",I19="CB1","SAE Centralizado",I19="C71","Pl.Maestranza.Cent",I19="C72","Pl.Calderería.Cent",I19="C74","CONTRATOS METALMEC",I19="C40","Planif. Refinería",I19="SAPCI","SAPCI",TRUE,"Código no encontrado")</f>
        <v>Pl.Dist.Energ.Elec</v>
      </c>
      <c r="K19" s="1" t="s">
        <v>202</v>
      </c>
      <c r="L19" s="1" t="s">
        <v>203</v>
      </c>
      <c r="M19" s="1" t="s">
        <v>164</v>
      </c>
      <c r="N19" s="1" t="s">
        <v>52</v>
      </c>
      <c r="O19" s="37">
        <f>Tbl_PctTrabajoPlanificado[[#This Row],[Fecha inicio real]]-Tbl_PctTrabajoPlanificado[[#This Row],[Fecha Libera Orden]]</f>
        <v>19</v>
      </c>
      <c r="P19" s="3">
        <v>46140</v>
      </c>
      <c r="Q19" s="3">
        <v>46159</v>
      </c>
      <c r="R19" s="1" t="s">
        <v>204</v>
      </c>
      <c r="S19" s="9">
        <v>100</v>
      </c>
      <c r="T19" s="7">
        <v>4</v>
      </c>
      <c r="U19" s="7">
        <v>4</v>
      </c>
      <c r="V19" t="s">
        <v>464</v>
      </c>
    </row>
    <row r="20" spans="1:22" ht="15.75" thickBot="1" x14ac:dyDescent="0.3">
      <c r="A20" s="18" t="s">
        <v>155</v>
      </c>
      <c r="B20" s="1" t="s">
        <v>14</v>
      </c>
      <c r="C20" s="1" t="s">
        <v>15</v>
      </c>
      <c r="D20" s="1" t="s">
        <v>35</v>
      </c>
      <c r="E20" s="1" t="s">
        <v>25</v>
      </c>
      <c r="F20" s="1" t="s">
        <v>444</v>
      </c>
      <c r="G20" s="1" t="s">
        <v>124</v>
      </c>
      <c r="H20" s="1" t="s">
        <v>123</v>
      </c>
      <c r="I20" s="37" t="str">
        <f>VLOOKUP(Tbl_PctTrabajoPlanificado[[#This Row],[Orden mantenimiento]],Data!$E$2:$G$101,2,FALSE)</f>
        <v>C82</v>
      </c>
      <c r="J20" s="37" t="str" cm="1">
        <f t="array" ref="J20">_xlfn.IFS(I20="C81","Pl.Termoelec.Chuq.",I20="C82","Pl.Dist.Energ.Elec",I20="C89","Pl.Mant.Ind.Electr",I20="CO0","Concentradora A0",I20="CO1","Concentradora A1",I20="CO2","Concentradora A2",I20="CB1","SAE Centralizado",I20="C71","Pl.Maestranza.Cent",I20="C72","Pl.Calderería.Cent",I20="C74","CONTRATOS METALMEC",I20="C40","Planif. Refinería",I20="SAPCI","SAPCI",TRUE,"Código no encontrado")</f>
        <v>Pl.Dist.Energ.Elec</v>
      </c>
      <c r="K20" s="1" t="s">
        <v>205</v>
      </c>
      <c r="L20" s="1" t="s">
        <v>206</v>
      </c>
      <c r="M20" s="1" t="s">
        <v>164</v>
      </c>
      <c r="N20" s="1" t="s">
        <v>52</v>
      </c>
      <c r="O20" s="37">
        <f>Tbl_PctTrabajoPlanificado[[#This Row],[Fecha inicio real]]-Tbl_PctTrabajoPlanificado[[#This Row],[Fecha Libera Orden]]</f>
        <v>13</v>
      </c>
      <c r="P20" s="3">
        <v>46146</v>
      </c>
      <c r="Q20" s="3">
        <v>46159</v>
      </c>
      <c r="R20" s="1" t="s">
        <v>204</v>
      </c>
      <c r="S20" s="10">
        <v>100</v>
      </c>
      <c r="T20" s="11">
        <v>4</v>
      </c>
      <c r="U20" s="11">
        <v>4</v>
      </c>
      <c r="V20" t="s">
        <v>464</v>
      </c>
    </row>
    <row r="21" spans="1:22" ht="15.75" thickBot="1" x14ac:dyDescent="0.3">
      <c r="A21" s="18" t="s">
        <v>155</v>
      </c>
      <c r="B21" s="1" t="s">
        <v>14</v>
      </c>
      <c r="C21" s="1" t="s">
        <v>15</v>
      </c>
      <c r="D21" s="1" t="s">
        <v>35</v>
      </c>
      <c r="E21" s="1" t="s">
        <v>25</v>
      </c>
      <c r="F21" s="1" t="s">
        <v>444</v>
      </c>
      <c r="G21" s="1" t="s">
        <v>124</v>
      </c>
      <c r="H21" s="1" t="s">
        <v>123</v>
      </c>
      <c r="I21" s="37" t="str">
        <f>VLOOKUP(Tbl_PctTrabajoPlanificado[[#This Row],[Orden mantenimiento]],Data!$E$2:$G$101,2,FALSE)</f>
        <v>C82</v>
      </c>
      <c r="J21" s="37" t="str" cm="1">
        <f t="array" ref="J21">_xlfn.IFS(I21="C81","Pl.Termoelec.Chuq.",I21="C82","Pl.Dist.Energ.Elec",I21="C89","Pl.Mant.Ind.Electr",I21="CO0","Concentradora A0",I21="CO1","Concentradora A1",I21="CO2","Concentradora A2",I21="CB1","SAE Centralizado",I21="C71","Pl.Maestranza.Cent",I21="C72","Pl.Calderería.Cent",I21="C74","CONTRATOS METALMEC",I21="C40","Planif. Refinería",I21="SAPCI","SAPCI",TRUE,"Código no encontrado")</f>
        <v>Pl.Dist.Energ.Elec</v>
      </c>
      <c r="K21" s="1" t="s">
        <v>207</v>
      </c>
      <c r="L21" s="1" t="s">
        <v>208</v>
      </c>
      <c r="M21" s="1" t="s">
        <v>164</v>
      </c>
      <c r="N21" s="1" t="s">
        <v>52</v>
      </c>
      <c r="O21" s="37">
        <f>Tbl_PctTrabajoPlanificado[[#This Row],[Fecha inicio real]]-Tbl_PctTrabajoPlanificado[[#This Row],[Fecha Libera Orden]]</f>
        <v>11</v>
      </c>
      <c r="P21" s="3">
        <v>46148</v>
      </c>
      <c r="Q21" s="3">
        <v>46159</v>
      </c>
      <c r="R21" s="1" t="s">
        <v>204</v>
      </c>
      <c r="S21" s="9">
        <v>100</v>
      </c>
      <c r="T21" s="7">
        <v>4</v>
      </c>
      <c r="U21" s="7">
        <v>4</v>
      </c>
      <c r="V21" t="s">
        <v>464</v>
      </c>
    </row>
    <row r="22" spans="1:22" ht="15.75" thickBot="1" x14ac:dyDescent="0.3">
      <c r="A22" s="18" t="s">
        <v>155</v>
      </c>
      <c r="B22" s="1" t="s">
        <v>14</v>
      </c>
      <c r="C22" s="1" t="s">
        <v>15</v>
      </c>
      <c r="D22" s="1" t="s">
        <v>35</v>
      </c>
      <c r="E22" s="1" t="s">
        <v>25</v>
      </c>
      <c r="F22" s="1" t="s">
        <v>444</v>
      </c>
      <c r="G22" s="1" t="s">
        <v>54</v>
      </c>
      <c r="H22" s="1" t="s">
        <v>53</v>
      </c>
      <c r="I22" s="37" t="str">
        <f>VLOOKUP(Tbl_PctTrabajoPlanificado[[#This Row],[Orden mantenimiento]],Data!$E$2:$G$101,2,FALSE)</f>
        <v>C82</v>
      </c>
      <c r="J22" s="37" t="str" cm="1">
        <f t="array" ref="J22">_xlfn.IFS(I22="C81","Pl.Termoelec.Chuq.",I22="C82","Pl.Dist.Energ.Elec",I22="C89","Pl.Mant.Ind.Electr",I22="CO0","Concentradora A0",I22="CO1","Concentradora A1",I22="CO2","Concentradora A2",I22="CB1","SAE Centralizado",I22="C71","Pl.Maestranza.Cent",I22="C72","Pl.Calderería.Cent",I22="C74","CONTRATOS METALMEC",I22="C40","Planif. Refinería",I22="SAPCI","SAPCI",TRUE,"Código no encontrado")</f>
        <v>Pl.Dist.Energ.Elec</v>
      </c>
      <c r="K22" s="1" t="s">
        <v>209</v>
      </c>
      <c r="L22" s="1" t="s">
        <v>210</v>
      </c>
      <c r="M22" s="1" t="s">
        <v>164</v>
      </c>
      <c r="N22" s="1" t="s">
        <v>52</v>
      </c>
      <c r="O22" s="37">
        <f>Tbl_PctTrabajoPlanificado[[#This Row],[Fecha inicio real]]-Tbl_PctTrabajoPlanificado[[#This Row],[Fecha Libera Orden]]</f>
        <v>11</v>
      </c>
      <c r="P22" s="3">
        <v>46148</v>
      </c>
      <c r="Q22" s="3">
        <v>46159</v>
      </c>
      <c r="R22" s="1" t="s">
        <v>211</v>
      </c>
      <c r="S22" s="10">
        <v>100</v>
      </c>
      <c r="T22" s="11">
        <v>22</v>
      </c>
      <c r="U22" s="11">
        <v>22</v>
      </c>
      <c r="V22" t="s">
        <v>464</v>
      </c>
    </row>
    <row r="23" spans="1:22" ht="15.75" thickBot="1" x14ac:dyDescent="0.3">
      <c r="A23" s="18" t="s">
        <v>155</v>
      </c>
      <c r="B23" s="1" t="s">
        <v>14</v>
      </c>
      <c r="C23" s="1" t="s">
        <v>15</v>
      </c>
      <c r="D23" s="1" t="s">
        <v>35</v>
      </c>
      <c r="E23" s="1" t="s">
        <v>25</v>
      </c>
      <c r="F23" s="1" t="s">
        <v>444</v>
      </c>
      <c r="G23" s="1" t="s">
        <v>106</v>
      </c>
      <c r="H23" s="1" t="s">
        <v>105</v>
      </c>
      <c r="I23" s="37" t="str">
        <f>VLOOKUP(Tbl_PctTrabajoPlanificado[[#This Row],[Orden mantenimiento]],Data!$E$2:$G$101,2,FALSE)</f>
        <v>C82</v>
      </c>
      <c r="J23" s="37" t="str" cm="1">
        <f t="array" ref="J23">_xlfn.IFS(I23="C81","Pl.Termoelec.Chuq.",I23="C82","Pl.Dist.Energ.Elec",I23="C89","Pl.Mant.Ind.Electr",I23="CO0","Concentradora A0",I23="CO1","Concentradora A1",I23="CO2","Concentradora A2",I23="CB1","SAE Centralizado",I23="C71","Pl.Maestranza.Cent",I23="C72","Pl.Calderería.Cent",I23="C74","CONTRATOS METALMEC",I23="C40","Planif. Refinería",I23="SAPCI","SAPCI",TRUE,"Código no encontrado")</f>
        <v>Pl.Dist.Energ.Elec</v>
      </c>
      <c r="K23" s="1" t="s">
        <v>212</v>
      </c>
      <c r="L23" s="1" t="s">
        <v>213</v>
      </c>
      <c r="M23" s="1" t="s">
        <v>186</v>
      </c>
      <c r="N23" s="1" t="s">
        <v>104</v>
      </c>
      <c r="O23" s="37">
        <f>Tbl_PctTrabajoPlanificado[[#This Row],[Fecha inicio real]]-Tbl_PctTrabajoPlanificado[[#This Row],[Fecha Libera Orden]]</f>
        <v>-1</v>
      </c>
      <c r="P23" s="3">
        <v>46157</v>
      </c>
      <c r="Q23" s="3">
        <v>46156</v>
      </c>
      <c r="R23" s="1" t="s">
        <v>23</v>
      </c>
      <c r="S23" s="6"/>
      <c r="T23" s="6"/>
      <c r="U23" s="7">
        <v>6</v>
      </c>
      <c r="V23" t="s">
        <v>463</v>
      </c>
    </row>
    <row r="24" spans="1:22" ht="15.75" thickBot="1" x14ac:dyDescent="0.3">
      <c r="A24" s="18" t="s">
        <v>155</v>
      </c>
      <c r="B24" s="1" t="s">
        <v>14</v>
      </c>
      <c r="C24" s="1" t="s">
        <v>47</v>
      </c>
      <c r="D24" s="1" t="s">
        <v>48</v>
      </c>
      <c r="E24" s="1" t="s">
        <v>56</v>
      </c>
      <c r="F24" s="1" t="s">
        <v>450</v>
      </c>
      <c r="G24" s="1" t="s">
        <v>100</v>
      </c>
      <c r="H24" s="1" t="s">
        <v>99</v>
      </c>
      <c r="I24" s="37" t="str">
        <f>VLOOKUP(Tbl_PctTrabajoPlanificado[[#This Row],[Orden mantenimiento]],Data!$E$2:$G$101,2,FALSE)</f>
        <v>C81</v>
      </c>
      <c r="J24" s="37" t="str" cm="1">
        <f t="array" ref="J24">_xlfn.IFS(I24="C81","Pl.Termoelec.Chuq.",I24="C82","Pl.Dist.Energ.Elec",I24="C89","Pl.Mant.Ind.Electr",I24="CO0","Concentradora A0",I24="CO1","Concentradora A1",I24="CO2","Concentradora A2",I24="CB1","SAE Centralizado",I24="C71","Pl.Maestranza.Cent",I24="C72","Pl.Calderería.Cent",I24="C74","CONTRATOS METALMEC",I24="C40","Planif. Refinería",I24="SAPCI","SAPCI",TRUE,"Código no encontrado")</f>
        <v>Pl.Termoelec.Chuq.</v>
      </c>
      <c r="K24" s="1" t="s">
        <v>214</v>
      </c>
      <c r="L24" s="1" t="s">
        <v>215</v>
      </c>
      <c r="M24" s="1" t="s">
        <v>164</v>
      </c>
      <c r="N24" s="1" t="s">
        <v>52</v>
      </c>
      <c r="O24" s="37">
        <f>Tbl_PctTrabajoPlanificado[[#This Row],[Fecha inicio real]]-Tbl_PctTrabajoPlanificado[[#This Row],[Fecha Libera Orden]]</f>
        <v>10</v>
      </c>
      <c r="P24" s="3">
        <v>46145</v>
      </c>
      <c r="Q24" s="3">
        <v>46155</v>
      </c>
      <c r="R24" s="1" t="s">
        <v>216</v>
      </c>
      <c r="S24" s="9">
        <v>100</v>
      </c>
      <c r="T24" s="7">
        <v>1</v>
      </c>
      <c r="U24" s="7">
        <v>1</v>
      </c>
      <c r="V24" t="s">
        <v>464</v>
      </c>
    </row>
    <row r="25" spans="1:22" ht="15.75" thickBot="1" x14ac:dyDescent="0.3">
      <c r="A25" s="18" t="s">
        <v>155</v>
      </c>
      <c r="B25" s="1" t="s">
        <v>14</v>
      </c>
      <c r="C25" s="1" t="s">
        <v>47</v>
      </c>
      <c r="D25" s="1" t="s">
        <v>48</v>
      </c>
      <c r="E25" s="1" t="s">
        <v>56</v>
      </c>
      <c r="F25" s="1" t="s">
        <v>450</v>
      </c>
      <c r="G25" s="1" t="s">
        <v>100</v>
      </c>
      <c r="H25" s="1" t="s">
        <v>99</v>
      </c>
      <c r="I25" s="37" t="str">
        <f>VLOOKUP(Tbl_PctTrabajoPlanificado[[#This Row],[Orden mantenimiento]],Data!$E$2:$G$101,2,FALSE)</f>
        <v>C81</v>
      </c>
      <c r="J25" s="37" t="str" cm="1">
        <f t="array" ref="J25">_xlfn.IFS(I25="C81","Pl.Termoelec.Chuq.",I25="C82","Pl.Dist.Energ.Elec",I25="C89","Pl.Mant.Ind.Electr",I25="CO0","Concentradora A0",I25="CO1","Concentradora A1",I25="CO2","Concentradora A2",I25="CB1","SAE Centralizado",I25="C71","Pl.Maestranza.Cent",I25="C72","Pl.Calderería.Cent",I25="C74","CONTRATOS METALMEC",I25="C40","Planif. Refinería",I25="SAPCI","SAPCI",TRUE,"Código no encontrado")</f>
        <v>Pl.Termoelec.Chuq.</v>
      </c>
      <c r="K25" s="1" t="s">
        <v>214</v>
      </c>
      <c r="L25" s="1" t="s">
        <v>215</v>
      </c>
      <c r="M25" s="1" t="s">
        <v>164</v>
      </c>
      <c r="N25" s="1" t="s">
        <v>52</v>
      </c>
      <c r="O25" s="37">
        <f>Tbl_PctTrabajoPlanificado[[#This Row],[Fecha inicio real]]-Tbl_PctTrabajoPlanificado[[#This Row],[Fecha Libera Orden]]</f>
        <v>14</v>
      </c>
      <c r="P25" s="3">
        <v>46145</v>
      </c>
      <c r="Q25" s="3">
        <v>46159</v>
      </c>
      <c r="R25" s="1" t="s">
        <v>216</v>
      </c>
      <c r="S25" s="10">
        <v>100</v>
      </c>
      <c r="T25" s="11">
        <v>1.2</v>
      </c>
      <c r="U25" s="11">
        <v>1.2</v>
      </c>
      <c r="V25" t="s">
        <v>464</v>
      </c>
    </row>
    <row r="26" spans="1:22" ht="15.75" thickBot="1" x14ac:dyDescent="0.3">
      <c r="A26" s="18" t="s">
        <v>155</v>
      </c>
      <c r="B26" s="1" t="s">
        <v>14</v>
      </c>
      <c r="C26" s="1" t="s">
        <v>47</v>
      </c>
      <c r="D26" s="1" t="s">
        <v>48</v>
      </c>
      <c r="E26" s="1" t="s">
        <v>56</v>
      </c>
      <c r="F26" s="1" t="s">
        <v>450</v>
      </c>
      <c r="G26" s="1" t="s">
        <v>100</v>
      </c>
      <c r="H26" s="1" t="s">
        <v>99</v>
      </c>
      <c r="I26" s="37" t="str">
        <f>VLOOKUP(Tbl_PctTrabajoPlanificado[[#This Row],[Orden mantenimiento]],Data!$E$2:$G$101,2,FALSE)</f>
        <v>C81</v>
      </c>
      <c r="J26" s="37" t="str" cm="1">
        <f t="array" ref="J26">_xlfn.IFS(I26="C81","Pl.Termoelec.Chuq.",I26="C82","Pl.Dist.Energ.Elec",I26="C89","Pl.Mant.Ind.Electr",I26="CO0","Concentradora A0",I26="CO1","Concentradora A1",I26="CO2","Concentradora A2",I26="CB1","SAE Centralizado",I26="C71","Pl.Maestranza.Cent",I26="C72","Pl.Calderería.Cent",I26="C74","CONTRATOS METALMEC",I26="C40","Planif. Refinería",I26="SAPCI","SAPCI",TRUE,"Código no encontrado")</f>
        <v>Pl.Termoelec.Chuq.</v>
      </c>
      <c r="K26" s="1" t="s">
        <v>214</v>
      </c>
      <c r="L26" s="1" t="s">
        <v>215</v>
      </c>
      <c r="M26" s="1" t="s">
        <v>174</v>
      </c>
      <c r="N26" s="1" t="s">
        <v>52</v>
      </c>
      <c r="O26" s="37">
        <f>Tbl_PctTrabajoPlanificado[[#This Row],[Fecha inicio real]]-Tbl_PctTrabajoPlanificado[[#This Row],[Fecha Libera Orden]]</f>
        <v>14</v>
      </c>
      <c r="P26" s="3">
        <v>46145</v>
      </c>
      <c r="Q26" s="3">
        <v>46159</v>
      </c>
      <c r="R26" s="1" t="s">
        <v>216</v>
      </c>
      <c r="S26" s="9">
        <v>100</v>
      </c>
      <c r="T26" s="7">
        <v>13.5</v>
      </c>
      <c r="U26" s="7">
        <v>13.5</v>
      </c>
      <c r="V26" t="s">
        <v>464</v>
      </c>
    </row>
    <row r="27" spans="1:22" ht="15.75" thickBot="1" x14ac:dyDescent="0.3">
      <c r="A27" s="18" t="s">
        <v>155</v>
      </c>
      <c r="B27" s="1" t="s">
        <v>14</v>
      </c>
      <c r="C27" s="1" t="s">
        <v>47</v>
      </c>
      <c r="D27" s="1" t="s">
        <v>48</v>
      </c>
      <c r="E27" s="1" t="s">
        <v>56</v>
      </c>
      <c r="F27" s="1" t="s">
        <v>450</v>
      </c>
      <c r="G27" s="1" t="s">
        <v>100</v>
      </c>
      <c r="H27" s="1" t="s">
        <v>99</v>
      </c>
      <c r="I27" s="37" t="str">
        <f>VLOOKUP(Tbl_PctTrabajoPlanificado[[#This Row],[Orden mantenimiento]],Data!$E$2:$G$101,2,FALSE)</f>
        <v>C81</v>
      </c>
      <c r="J27" s="37" t="str" cm="1">
        <f t="array" ref="J27">_xlfn.IFS(I27="C81","Pl.Termoelec.Chuq.",I27="C82","Pl.Dist.Energ.Elec",I27="C89","Pl.Mant.Ind.Electr",I27="CO0","Concentradora A0",I27="CO1","Concentradora A1",I27="CO2","Concentradora A2",I27="CB1","SAE Centralizado",I27="C71","Pl.Maestranza.Cent",I27="C72","Pl.Calderería.Cent",I27="C74","CONTRATOS METALMEC",I27="C40","Planif. Refinería",I27="SAPCI","SAPCI",TRUE,"Código no encontrado")</f>
        <v>Pl.Termoelec.Chuq.</v>
      </c>
      <c r="K27" s="1" t="s">
        <v>217</v>
      </c>
      <c r="L27" s="1" t="s">
        <v>218</v>
      </c>
      <c r="M27" s="1" t="s">
        <v>164</v>
      </c>
      <c r="N27" s="1" t="s">
        <v>52</v>
      </c>
      <c r="O27" s="37">
        <f>Tbl_PctTrabajoPlanificado[[#This Row],[Fecha inicio real]]-Tbl_PctTrabajoPlanificado[[#This Row],[Fecha Libera Orden]]</f>
        <v>13</v>
      </c>
      <c r="P27" s="3">
        <v>46145</v>
      </c>
      <c r="Q27" s="3">
        <v>46158</v>
      </c>
      <c r="R27" s="1" t="s">
        <v>219</v>
      </c>
      <c r="S27" s="10">
        <v>100</v>
      </c>
      <c r="T27" s="11">
        <v>2.6</v>
      </c>
      <c r="U27" s="11">
        <v>2.6</v>
      </c>
      <c r="V27" t="s">
        <v>464</v>
      </c>
    </row>
    <row r="28" spans="1:22" ht="15.75" thickBot="1" x14ac:dyDescent="0.3">
      <c r="A28" s="18" t="s">
        <v>155</v>
      </c>
      <c r="B28" s="1" t="s">
        <v>14</v>
      </c>
      <c r="C28" s="1" t="s">
        <v>47</v>
      </c>
      <c r="D28" s="1" t="s">
        <v>48</v>
      </c>
      <c r="E28" s="1" t="s">
        <v>56</v>
      </c>
      <c r="F28" s="1" t="s">
        <v>450</v>
      </c>
      <c r="G28" s="1" t="s">
        <v>100</v>
      </c>
      <c r="H28" s="1" t="s">
        <v>99</v>
      </c>
      <c r="I28" s="37" t="str">
        <f>VLOOKUP(Tbl_PctTrabajoPlanificado[[#This Row],[Orden mantenimiento]],Data!$E$2:$G$101,2,FALSE)</f>
        <v>C81</v>
      </c>
      <c r="J28" s="37" t="str" cm="1">
        <f t="array" ref="J28">_xlfn.IFS(I28="C81","Pl.Termoelec.Chuq.",I28="C82","Pl.Dist.Energ.Elec",I28="C89","Pl.Mant.Ind.Electr",I28="CO0","Concentradora A0",I28="CO1","Concentradora A1",I28="CO2","Concentradora A2",I28="CB1","SAE Centralizado",I28="C71","Pl.Maestranza.Cent",I28="C72","Pl.Calderería.Cent",I28="C74","CONTRATOS METALMEC",I28="C40","Planif. Refinería",I28="SAPCI","SAPCI",TRUE,"Código no encontrado")</f>
        <v>Pl.Termoelec.Chuq.</v>
      </c>
      <c r="K28" s="1" t="s">
        <v>220</v>
      </c>
      <c r="L28" s="1" t="s">
        <v>221</v>
      </c>
      <c r="M28" s="1" t="s">
        <v>164</v>
      </c>
      <c r="N28" s="1" t="s">
        <v>52</v>
      </c>
      <c r="O28" s="37">
        <f>Tbl_PctTrabajoPlanificado[[#This Row],[Fecha inicio real]]-Tbl_PctTrabajoPlanificado[[#This Row],[Fecha Libera Orden]]</f>
        <v>11</v>
      </c>
      <c r="P28" s="3">
        <v>46145</v>
      </c>
      <c r="Q28" s="3">
        <v>46156</v>
      </c>
      <c r="R28" s="1" t="s">
        <v>222</v>
      </c>
      <c r="S28" s="9">
        <v>100</v>
      </c>
      <c r="T28" s="7">
        <v>12</v>
      </c>
      <c r="U28" s="7">
        <v>12</v>
      </c>
      <c r="V28" t="s">
        <v>464</v>
      </c>
    </row>
    <row r="29" spans="1:22" ht="15.75" thickBot="1" x14ac:dyDescent="0.3">
      <c r="A29" s="18" t="s">
        <v>155</v>
      </c>
      <c r="B29" s="1" t="s">
        <v>14</v>
      </c>
      <c r="C29" s="1" t="s">
        <v>47</v>
      </c>
      <c r="D29" s="1" t="s">
        <v>48</v>
      </c>
      <c r="E29" s="1" t="s">
        <v>56</v>
      </c>
      <c r="F29" s="1" t="s">
        <v>450</v>
      </c>
      <c r="G29" s="1" t="s">
        <v>100</v>
      </c>
      <c r="H29" s="1" t="s">
        <v>99</v>
      </c>
      <c r="I29" s="37" t="str">
        <f>VLOOKUP(Tbl_PctTrabajoPlanificado[[#This Row],[Orden mantenimiento]],Data!$E$2:$G$101,2,FALSE)</f>
        <v>C81</v>
      </c>
      <c r="J29" s="37" t="str" cm="1">
        <f t="array" ref="J29">_xlfn.IFS(I29="C81","Pl.Termoelec.Chuq.",I29="C82","Pl.Dist.Energ.Elec",I29="C89","Pl.Mant.Ind.Electr",I29="CO0","Concentradora A0",I29="CO1","Concentradora A1",I29="CO2","Concentradora A2",I29="CB1","SAE Centralizado",I29="C71","Pl.Maestranza.Cent",I29="C72","Pl.Calderería.Cent",I29="C74","CONTRATOS METALMEC",I29="C40","Planif. Refinería",I29="SAPCI","SAPCI",TRUE,"Código no encontrado")</f>
        <v>Pl.Termoelec.Chuq.</v>
      </c>
      <c r="K29" s="1" t="s">
        <v>223</v>
      </c>
      <c r="L29" s="1" t="s">
        <v>224</v>
      </c>
      <c r="M29" s="1" t="s">
        <v>174</v>
      </c>
      <c r="N29" s="1" t="s">
        <v>52</v>
      </c>
      <c r="O29" s="37">
        <f>Tbl_PctTrabajoPlanificado[[#This Row],[Fecha inicio real]]-Tbl_PctTrabajoPlanificado[[#This Row],[Fecha Libera Orden]]</f>
        <v>10</v>
      </c>
      <c r="P29" s="3">
        <v>46145</v>
      </c>
      <c r="Q29" s="3">
        <v>46155</v>
      </c>
      <c r="R29" s="1" t="s">
        <v>225</v>
      </c>
      <c r="S29" s="10">
        <v>100</v>
      </c>
      <c r="T29" s="11">
        <v>6</v>
      </c>
      <c r="U29" s="11">
        <v>6</v>
      </c>
      <c r="V29" t="s">
        <v>464</v>
      </c>
    </row>
    <row r="30" spans="1:22" ht="15.75" thickBot="1" x14ac:dyDescent="0.3">
      <c r="A30" s="18" t="s">
        <v>155</v>
      </c>
      <c r="B30" s="1" t="s">
        <v>14</v>
      </c>
      <c r="C30" s="1" t="s">
        <v>47</v>
      </c>
      <c r="D30" s="1" t="s">
        <v>48</v>
      </c>
      <c r="E30" s="1" t="s">
        <v>56</v>
      </c>
      <c r="F30" s="1" t="s">
        <v>450</v>
      </c>
      <c r="G30" s="1" t="s">
        <v>100</v>
      </c>
      <c r="H30" s="1" t="s">
        <v>99</v>
      </c>
      <c r="I30" s="37" t="str">
        <f>VLOOKUP(Tbl_PctTrabajoPlanificado[[#This Row],[Orden mantenimiento]],Data!$E$2:$G$101,2,FALSE)</f>
        <v>C81</v>
      </c>
      <c r="J30" s="37" t="str" cm="1">
        <f t="array" ref="J30">_xlfn.IFS(I30="C81","Pl.Termoelec.Chuq.",I30="C82","Pl.Dist.Energ.Elec",I30="C89","Pl.Mant.Ind.Electr",I30="CO0","Concentradora A0",I30="CO1","Concentradora A1",I30="CO2","Concentradora A2",I30="CB1","SAE Centralizado",I30="C71","Pl.Maestranza.Cent",I30="C72","Pl.Calderería.Cent",I30="C74","CONTRATOS METALMEC",I30="C40","Planif. Refinería",I30="SAPCI","SAPCI",TRUE,"Código no encontrado")</f>
        <v>Pl.Termoelec.Chuq.</v>
      </c>
      <c r="K30" s="1" t="s">
        <v>226</v>
      </c>
      <c r="L30" s="1" t="s">
        <v>227</v>
      </c>
      <c r="M30" s="1" t="s">
        <v>164</v>
      </c>
      <c r="N30" s="1" t="s">
        <v>52</v>
      </c>
      <c r="O30" s="37">
        <f>Tbl_PctTrabajoPlanificado[[#This Row],[Fecha inicio real]]-Tbl_PctTrabajoPlanificado[[#This Row],[Fecha Libera Orden]]</f>
        <v>11</v>
      </c>
      <c r="P30" s="3">
        <v>46145</v>
      </c>
      <c r="Q30" s="3">
        <v>46156</v>
      </c>
      <c r="R30" s="1" t="s">
        <v>228</v>
      </c>
      <c r="S30" s="9">
        <v>100</v>
      </c>
      <c r="T30" s="7">
        <v>4</v>
      </c>
      <c r="U30" s="7">
        <v>4</v>
      </c>
      <c r="V30" t="s">
        <v>464</v>
      </c>
    </row>
    <row r="31" spans="1:22" ht="15.75" thickBot="1" x14ac:dyDescent="0.3">
      <c r="A31" s="18" t="s">
        <v>155</v>
      </c>
      <c r="B31" s="1" t="s">
        <v>14</v>
      </c>
      <c r="C31" s="1" t="s">
        <v>47</v>
      </c>
      <c r="D31" s="1" t="s">
        <v>48</v>
      </c>
      <c r="E31" s="1" t="s">
        <v>56</v>
      </c>
      <c r="F31" s="1" t="s">
        <v>450</v>
      </c>
      <c r="G31" s="1" t="s">
        <v>100</v>
      </c>
      <c r="H31" s="1" t="s">
        <v>99</v>
      </c>
      <c r="I31" s="37" t="str">
        <f>VLOOKUP(Tbl_PctTrabajoPlanificado[[#This Row],[Orden mantenimiento]],Data!$E$2:$G$101,2,FALSE)</f>
        <v>C81</v>
      </c>
      <c r="J31" s="37" t="str" cm="1">
        <f t="array" ref="J31">_xlfn.IFS(I31="C81","Pl.Termoelec.Chuq.",I31="C82","Pl.Dist.Energ.Elec",I31="C89","Pl.Mant.Ind.Electr",I31="CO0","Concentradora A0",I31="CO1","Concentradora A1",I31="CO2","Concentradora A2",I31="CB1","SAE Centralizado",I31="C71","Pl.Maestranza.Cent",I31="C72","Pl.Calderería.Cent",I31="C74","CONTRATOS METALMEC",I31="C40","Planif. Refinería",I31="SAPCI","SAPCI",TRUE,"Código no encontrado")</f>
        <v>Pl.Termoelec.Chuq.</v>
      </c>
      <c r="K31" s="1" t="s">
        <v>226</v>
      </c>
      <c r="L31" s="1" t="s">
        <v>227</v>
      </c>
      <c r="M31" s="1" t="s">
        <v>174</v>
      </c>
      <c r="N31" s="1" t="s">
        <v>52</v>
      </c>
      <c r="O31" s="37">
        <f>Tbl_PctTrabajoPlanificado[[#This Row],[Fecha inicio real]]-Tbl_PctTrabajoPlanificado[[#This Row],[Fecha Libera Orden]]</f>
        <v>11</v>
      </c>
      <c r="P31" s="3">
        <v>46145</v>
      </c>
      <c r="Q31" s="3">
        <v>46156</v>
      </c>
      <c r="R31" s="1" t="s">
        <v>228</v>
      </c>
      <c r="S31" s="10">
        <v>100</v>
      </c>
      <c r="T31" s="11">
        <v>1</v>
      </c>
      <c r="U31" s="11">
        <v>1</v>
      </c>
      <c r="V31" t="s">
        <v>464</v>
      </c>
    </row>
    <row r="32" spans="1:22" ht="15.75" thickBot="1" x14ac:dyDescent="0.3">
      <c r="A32" s="18" t="s">
        <v>155</v>
      </c>
      <c r="B32" s="1" t="s">
        <v>14</v>
      </c>
      <c r="C32" s="1" t="s">
        <v>47</v>
      </c>
      <c r="D32" s="1" t="s">
        <v>48</v>
      </c>
      <c r="E32" s="1" t="s">
        <v>56</v>
      </c>
      <c r="F32" s="1" t="s">
        <v>450</v>
      </c>
      <c r="G32" s="1" t="s">
        <v>100</v>
      </c>
      <c r="H32" s="1" t="s">
        <v>99</v>
      </c>
      <c r="I32" s="37" t="str">
        <f>VLOOKUP(Tbl_PctTrabajoPlanificado[[#This Row],[Orden mantenimiento]],Data!$E$2:$G$101,2,FALSE)</f>
        <v>C81</v>
      </c>
      <c r="J32" s="37" t="str" cm="1">
        <f t="array" ref="J32">_xlfn.IFS(I32="C81","Pl.Termoelec.Chuq.",I32="C82","Pl.Dist.Energ.Elec",I32="C89","Pl.Mant.Ind.Electr",I32="CO0","Concentradora A0",I32="CO1","Concentradora A1",I32="CO2","Concentradora A2",I32="CB1","SAE Centralizado",I32="C71","Pl.Maestranza.Cent",I32="C72","Pl.Calderería.Cent",I32="C74","CONTRATOS METALMEC",I32="C40","Planif. Refinería",I32="SAPCI","SAPCI",TRUE,"Código no encontrado")</f>
        <v>Pl.Termoelec.Chuq.</v>
      </c>
      <c r="K32" s="1" t="s">
        <v>229</v>
      </c>
      <c r="L32" s="1" t="s">
        <v>230</v>
      </c>
      <c r="M32" s="1" t="s">
        <v>164</v>
      </c>
      <c r="N32" s="1" t="s">
        <v>52</v>
      </c>
      <c r="O32" s="37">
        <f>Tbl_PctTrabajoPlanificado[[#This Row],[Fecha inicio real]]-Tbl_PctTrabajoPlanificado[[#This Row],[Fecha Libera Orden]]</f>
        <v>8</v>
      </c>
      <c r="P32" s="3">
        <v>46145</v>
      </c>
      <c r="Q32" s="3">
        <v>46153</v>
      </c>
      <c r="R32" s="1" t="s">
        <v>231</v>
      </c>
      <c r="S32" s="9">
        <v>100</v>
      </c>
      <c r="T32" s="7">
        <v>9.4</v>
      </c>
      <c r="U32" s="7">
        <v>9.4</v>
      </c>
      <c r="V32" t="s">
        <v>464</v>
      </c>
    </row>
    <row r="33" spans="1:22" ht="15.75" thickBot="1" x14ac:dyDescent="0.3">
      <c r="A33" s="18" t="s">
        <v>155</v>
      </c>
      <c r="B33" s="1" t="s">
        <v>14</v>
      </c>
      <c r="C33" s="1" t="s">
        <v>47</v>
      </c>
      <c r="D33" s="1" t="s">
        <v>48</v>
      </c>
      <c r="E33" s="1" t="s">
        <v>56</v>
      </c>
      <c r="F33" s="1" t="s">
        <v>450</v>
      </c>
      <c r="G33" s="1" t="s">
        <v>100</v>
      </c>
      <c r="H33" s="1" t="s">
        <v>99</v>
      </c>
      <c r="I33" s="37" t="str">
        <f>VLOOKUP(Tbl_PctTrabajoPlanificado[[#This Row],[Orden mantenimiento]],Data!$E$2:$G$101,2,FALSE)</f>
        <v>C81</v>
      </c>
      <c r="J33" s="37" t="str" cm="1">
        <f t="array" ref="J33">_xlfn.IFS(I33="C81","Pl.Termoelec.Chuq.",I33="C82","Pl.Dist.Energ.Elec",I33="C89","Pl.Mant.Ind.Electr",I33="CO0","Concentradora A0",I33="CO1","Concentradora A1",I33="CO2","Concentradora A2",I33="CB1","SAE Centralizado",I33="C71","Pl.Maestranza.Cent",I33="C72","Pl.Calderería.Cent",I33="C74","CONTRATOS METALMEC",I33="C40","Planif. Refinería",I33="SAPCI","SAPCI",TRUE,"Código no encontrado")</f>
        <v>Pl.Termoelec.Chuq.</v>
      </c>
      <c r="K33" s="1" t="s">
        <v>232</v>
      </c>
      <c r="L33" s="1" t="s">
        <v>233</v>
      </c>
      <c r="M33" s="1" t="s">
        <v>164</v>
      </c>
      <c r="N33" s="1" t="s">
        <v>52</v>
      </c>
      <c r="O33" s="37">
        <f>Tbl_PctTrabajoPlanificado[[#This Row],[Fecha inicio real]]-Tbl_PctTrabajoPlanificado[[#This Row],[Fecha Libera Orden]]</f>
        <v>9</v>
      </c>
      <c r="P33" s="3">
        <v>46145</v>
      </c>
      <c r="Q33" s="3">
        <v>46154</v>
      </c>
      <c r="R33" s="1" t="s">
        <v>231</v>
      </c>
      <c r="S33" s="10">
        <v>100</v>
      </c>
      <c r="T33" s="11">
        <v>9</v>
      </c>
      <c r="U33" s="11">
        <v>9</v>
      </c>
      <c r="V33" t="s">
        <v>464</v>
      </c>
    </row>
    <row r="34" spans="1:22" ht="15.75" thickBot="1" x14ac:dyDescent="0.3">
      <c r="A34" s="18" t="s">
        <v>155</v>
      </c>
      <c r="B34" s="1" t="s">
        <v>14</v>
      </c>
      <c r="C34" s="1" t="s">
        <v>47</v>
      </c>
      <c r="D34" s="1" t="s">
        <v>48</v>
      </c>
      <c r="E34" s="1" t="s">
        <v>56</v>
      </c>
      <c r="F34" s="1" t="s">
        <v>450</v>
      </c>
      <c r="G34" s="1" t="s">
        <v>100</v>
      </c>
      <c r="H34" s="1" t="s">
        <v>99</v>
      </c>
      <c r="I34" s="37" t="str">
        <f>VLOOKUP(Tbl_PctTrabajoPlanificado[[#This Row],[Orden mantenimiento]],Data!$E$2:$G$101,2,FALSE)</f>
        <v>C81</v>
      </c>
      <c r="J34" s="37" t="str" cm="1">
        <f t="array" ref="J34">_xlfn.IFS(I34="C81","Pl.Termoelec.Chuq.",I34="C82","Pl.Dist.Energ.Elec",I34="C89","Pl.Mant.Ind.Electr",I34="CO0","Concentradora A0",I34="CO1","Concentradora A1",I34="CO2","Concentradora A2",I34="CB1","SAE Centralizado",I34="C71","Pl.Maestranza.Cent",I34="C72","Pl.Calderería.Cent",I34="C74","CONTRATOS METALMEC",I34="C40","Planif. Refinería",I34="SAPCI","SAPCI",TRUE,"Código no encontrado")</f>
        <v>Pl.Termoelec.Chuq.</v>
      </c>
      <c r="K34" s="1" t="s">
        <v>234</v>
      </c>
      <c r="L34" s="1" t="s">
        <v>235</v>
      </c>
      <c r="M34" s="1" t="s">
        <v>164</v>
      </c>
      <c r="N34" s="1" t="s">
        <v>52</v>
      </c>
      <c r="O34" s="37">
        <f>Tbl_PctTrabajoPlanificado[[#This Row],[Fecha inicio real]]-Tbl_PctTrabajoPlanificado[[#This Row],[Fecha Libera Orden]]</f>
        <v>10</v>
      </c>
      <c r="P34" s="3">
        <v>46145</v>
      </c>
      <c r="Q34" s="3">
        <v>46155</v>
      </c>
      <c r="R34" s="1" t="s">
        <v>231</v>
      </c>
      <c r="S34" s="9">
        <v>100</v>
      </c>
      <c r="T34" s="7">
        <v>15</v>
      </c>
      <c r="U34" s="7">
        <v>15</v>
      </c>
      <c r="V34" t="s">
        <v>464</v>
      </c>
    </row>
    <row r="35" spans="1:22" ht="15.75" thickBot="1" x14ac:dyDescent="0.3">
      <c r="A35" s="18" t="s">
        <v>155</v>
      </c>
      <c r="B35" s="1" t="s">
        <v>14</v>
      </c>
      <c r="C35" s="1" t="s">
        <v>47</v>
      </c>
      <c r="D35" s="1" t="s">
        <v>48</v>
      </c>
      <c r="E35" s="1" t="s">
        <v>56</v>
      </c>
      <c r="F35" s="1" t="s">
        <v>450</v>
      </c>
      <c r="G35" s="1" t="s">
        <v>100</v>
      </c>
      <c r="H35" s="1" t="s">
        <v>99</v>
      </c>
      <c r="I35" s="37" t="str">
        <f>VLOOKUP(Tbl_PctTrabajoPlanificado[[#This Row],[Orden mantenimiento]],Data!$E$2:$G$101,2,FALSE)</f>
        <v>C81</v>
      </c>
      <c r="J35" s="37" t="str" cm="1">
        <f t="array" ref="J35">_xlfn.IFS(I35="C81","Pl.Termoelec.Chuq.",I35="C82","Pl.Dist.Energ.Elec",I35="C89","Pl.Mant.Ind.Electr",I35="CO0","Concentradora A0",I35="CO1","Concentradora A1",I35="CO2","Concentradora A2",I35="CB1","SAE Centralizado",I35="C71","Pl.Maestranza.Cent",I35="C72","Pl.Calderería.Cent",I35="C74","CONTRATOS METALMEC",I35="C40","Planif. Refinería",I35="SAPCI","SAPCI",TRUE,"Código no encontrado")</f>
        <v>Pl.Termoelec.Chuq.</v>
      </c>
      <c r="K35" s="1" t="s">
        <v>234</v>
      </c>
      <c r="L35" s="1" t="s">
        <v>235</v>
      </c>
      <c r="M35" s="1" t="s">
        <v>174</v>
      </c>
      <c r="N35" s="1" t="s">
        <v>52</v>
      </c>
      <c r="O35" s="37">
        <f>Tbl_PctTrabajoPlanificado[[#This Row],[Fecha inicio real]]-Tbl_PctTrabajoPlanificado[[#This Row],[Fecha Libera Orden]]</f>
        <v>10</v>
      </c>
      <c r="P35" s="3">
        <v>46145</v>
      </c>
      <c r="Q35" s="3">
        <v>46155</v>
      </c>
      <c r="R35" s="1" t="s">
        <v>231</v>
      </c>
      <c r="S35" s="10">
        <v>100</v>
      </c>
      <c r="T35" s="11">
        <v>1</v>
      </c>
      <c r="U35" s="11">
        <v>1</v>
      </c>
      <c r="V35" t="s">
        <v>464</v>
      </c>
    </row>
    <row r="36" spans="1:22" ht="15.75" thickBot="1" x14ac:dyDescent="0.3">
      <c r="A36" s="18" t="s">
        <v>155</v>
      </c>
      <c r="B36" s="1" t="s">
        <v>14</v>
      </c>
      <c r="C36" s="1" t="s">
        <v>47</v>
      </c>
      <c r="D36" s="1" t="s">
        <v>48</v>
      </c>
      <c r="E36" s="1" t="s">
        <v>56</v>
      </c>
      <c r="F36" s="1" t="s">
        <v>450</v>
      </c>
      <c r="G36" s="1" t="s">
        <v>100</v>
      </c>
      <c r="H36" s="1" t="s">
        <v>99</v>
      </c>
      <c r="I36" s="37" t="str">
        <f>VLOOKUP(Tbl_PctTrabajoPlanificado[[#This Row],[Orden mantenimiento]],Data!$E$2:$G$101,2,FALSE)</f>
        <v>C81</v>
      </c>
      <c r="J36" s="37" t="str" cm="1">
        <f t="array" ref="J36">_xlfn.IFS(I36="C81","Pl.Termoelec.Chuq.",I36="C82","Pl.Dist.Energ.Elec",I36="C89","Pl.Mant.Ind.Electr",I36="CO0","Concentradora A0",I36="CO1","Concentradora A1",I36="CO2","Concentradora A2",I36="CB1","SAE Centralizado",I36="C71","Pl.Maestranza.Cent",I36="C72","Pl.Calderería.Cent",I36="C74","CONTRATOS METALMEC",I36="C40","Planif. Refinería",I36="SAPCI","SAPCI",TRUE,"Código no encontrado")</f>
        <v>Pl.Termoelec.Chuq.</v>
      </c>
      <c r="K36" s="1" t="s">
        <v>236</v>
      </c>
      <c r="L36" s="1" t="s">
        <v>237</v>
      </c>
      <c r="M36" s="1" t="s">
        <v>164</v>
      </c>
      <c r="N36" s="1" t="s">
        <v>52</v>
      </c>
      <c r="O36" s="37">
        <f>Tbl_PctTrabajoPlanificado[[#This Row],[Fecha inicio real]]-Tbl_PctTrabajoPlanificado[[#This Row],[Fecha Libera Orden]]</f>
        <v>12</v>
      </c>
      <c r="P36" s="3">
        <v>46145</v>
      </c>
      <c r="Q36" s="3">
        <v>46157</v>
      </c>
      <c r="R36" s="1" t="s">
        <v>238</v>
      </c>
      <c r="S36" s="9">
        <v>100</v>
      </c>
      <c r="T36" s="7">
        <v>6</v>
      </c>
      <c r="U36" s="7">
        <v>6</v>
      </c>
      <c r="V36" t="s">
        <v>464</v>
      </c>
    </row>
    <row r="37" spans="1:22" ht="15.75" thickBot="1" x14ac:dyDescent="0.3">
      <c r="A37" s="18" t="s">
        <v>155</v>
      </c>
      <c r="B37" s="1" t="s">
        <v>14</v>
      </c>
      <c r="C37" s="1" t="s">
        <v>47</v>
      </c>
      <c r="D37" s="1" t="s">
        <v>48</v>
      </c>
      <c r="E37" s="1" t="s">
        <v>56</v>
      </c>
      <c r="F37" s="1" t="s">
        <v>450</v>
      </c>
      <c r="G37" s="1" t="s">
        <v>100</v>
      </c>
      <c r="H37" s="1" t="s">
        <v>99</v>
      </c>
      <c r="I37" s="37" t="str">
        <f>VLOOKUP(Tbl_PctTrabajoPlanificado[[#This Row],[Orden mantenimiento]],Data!$E$2:$G$101,2,FALSE)</f>
        <v>C81</v>
      </c>
      <c r="J37" s="37" t="str" cm="1">
        <f t="array" ref="J37">_xlfn.IFS(I37="C81","Pl.Termoelec.Chuq.",I37="C82","Pl.Dist.Energ.Elec",I37="C89","Pl.Mant.Ind.Electr",I37="CO0","Concentradora A0",I37="CO1","Concentradora A1",I37="CO2","Concentradora A2",I37="CB1","SAE Centralizado",I37="C71","Pl.Maestranza.Cent",I37="C72","Pl.Calderería.Cent",I37="C74","CONTRATOS METALMEC",I37="C40","Planif. Refinería",I37="SAPCI","SAPCI",TRUE,"Código no encontrado")</f>
        <v>Pl.Termoelec.Chuq.</v>
      </c>
      <c r="K37" s="1" t="s">
        <v>236</v>
      </c>
      <c r="L37" s="1" t="s">
        <v>237</v>
      </c>
      <c r="M37" s="1" t="s">
        <v>174</v>
      </c>
      <c r="N37" s="1" t="s">
        <v>52</v>
      </c>
      <c r="O37" s="37">
        <f>Tbl_PctTrabajoPlanificado[[#This Row],[Fecha inicio real]]-Tbl_PctTrabajoPlanificado[[#This Row],[Fecha Libera Orden]]</f>
        <v>12</v>
      </c>
      <c r="P37" s="3">
        <v>46145</v>
      </c>
      <c r="Q37" s="3">
        <v>46157</v>
      </c>
      <c r="R37" s="1" t="s">
        <v>238</v>
      </c>
      <c r="S37" s="10">
        <v>100</v>
      </c>
      <c r="T37" s="11">
        <v>2</v>
      </c>
      <c r="U37" s="11">
        <v>2</v>
      </c>
      <c r="V37" t="s">
        <v>464</v>
      </c>
    </row>
    <row r="38" spans="1:22" ht="15.75" thickBot="1" x14ac:dyDescent="0.3">
      <c r="A38" s="18" t="s">
        <v>155</v>
      </c>
      <c r="B38" s="1" t="s">
        <v>14</v>
      </c>
      <c r="C38" s="1" t="s">
        <v>47</v>
      </c>
      <c r="D38" s="1" t="s">
        <v>48</v>
      </c>
      <c r="E38" s="1" t="s">
        <v>56</v>
      </c>
      <c r="F38" s="1" t="s">
        <v>450</v>
      </c>
      <c r="G38" s="1" t="s">
        <v>100</v>
      </c>
      <c r="H38" s="1" t="s">
        <v>99</v>
      </c>
      <c r="I38" s="37" t="str">
        <f>VLOOKUP(Tbl_PctTrabajoPlanificado[[#This Row],[Orden mantenimiento]],Data!$E$2:$G$101,2,FALSE)</f>
        <v>C81</v>
      </c>
      <c r="J38" s="37" t="str" cm="1">
        <f t="array" ref="J38">_xlfn.IFS(I38="C81","Pl.Termoelec.Chuq.",I38="C82","Pl.Dist.Energ.Elec",I38="C89","Pl.Mant.Ind.Electr",I38="CO0","Concentradora A0",I38="CO1","Concentradora A1",I38="CO2","Concentradora A2",I38="CB1","SAE Centralizado",I38="C71","Pl.Maestranza.Cent",I38="C72","Pl.Calderería.Cent",I38="C74","CONTRATOS METALMEC",I38="C40","Planif. Refinería",I38="SAPCI","SAPCI",TRUE,"Código no encontrado")</f>
        <v>Pl.Termoelec.Chuq.</v>
      </c>
      <c r="K38" s="1" t="s">
        <v>239</v>
      </c>
      <c r="L38" s="1" t="s">
        <v>240</v>
      </c>
      <c r="M38" s="1" t="s">
        <v>164</v>
      </c>
      <c r="N38" s="1" t="s">
        <v>52</v>
      </c>
      <c r="O38" s="37">
        <f>Tbl_PctTrabajoPlanificado[[#This Row],[Fecha inicio real]]-Tbl_PctTrabajoPlanificado[[#This Row],[Fecha Libera Orden]]</f>
        <v>8</v>
      </c>
      <c r="P38" s="3">
        <v>46145</v>
      </c>
      <c r="Q38" s="3">
        <v>46153</v>
      </c>
      <c r="R38" s="1" t="s">
        <v>241</v>
      </c>
      <c r="S38" s="9">
        <v>100</v>
      </c>
      <c r="T38" s="7">
        <v>20</v>
      </c>
      <c r="U38" s="7">
        <v>20</v>
      </c>
      <c r="V38" t="s">
        <v>464</v>
      </c>
    </row>
    <row r="39" spans="1:22" ht="15.75" thickBot="1" x14ac:dyDescent="0.3">
      <c r="A39" s="18" t="s">
        <v>155</v>
      </c>
      <c r="B39" s="1" t="s">
        <v>14</v>
      </c>
      <c r="C39" s="1" t="s">
        <v>47</v>
      </c>
      <c r="D39" s="1" t="s">
        <v>48</v>
      </c>
      <c r="E39" s="1" t="s">
        <v>56</v>
      </c>
      <c r="F39" s="1" t="s">
        <v>450</v>
      </c>
      <c r="G39" s="1" t="s">
        <v>100</v>
      </c>
      <c r="H39" s="1" t="s">
        <v>99</v>
      </c>
      <c r="I39" s="37" t="str">
        <f>VLOOKUP(Tbl_PctTrabajoPlanificado[[#This Row],[Orden mantenimiento]],Data!$E$2:$G$101,2,FALSE)</f>
        <v>C81</v>
      </c>
      <c r="J39" s="37" t="str" cm="1">
        <f t="array" ref="J39">_xlfn.IFS(I39="C81","Pl.Termoelec.Chuq.",I39="C82","Pl.Dist.Energ.Elec",I39="C89","Pl.Mant.Ind.Electr",I39="CO0","Concentradora A0",I39="CO1","Concentradora A1",I39="CO2","Concentradora A2",I39="CB1","SAE Centralizado",I39="C71","Pl.Maestranza.Cent",I39="C72","Pl.Calderería.Cent",I39="C74","CONTRATOS METALMEC",I39="C40","Planif. Refinería",I39="SAPCI","SAPCI",TRUE,"Código no encontrado")</f>
        <v>Pl.Termoelec.Chuq.</v>
      </c>
      <c r="K39" s="1" t="s">
        <v>242</v>
      </c>
      <c r="L39" s="1" t="s">
        <v>243</v>
      </c>
      <c r="M39" s="1" t="s">
        <v>164</v>
      </c>
      <c r="N39" s="1" t="s">
        <v>52</v>
      </c>
      <c r="O39" s="37">
        <f>Tbl_PctTrabajoPlanificado[[#This Row],[Fecha inicio real]]-Tbl_PctTrabajoPlanificado[[#This Row],[Fecha Libera Orden]]</f>
        <v>9</v>
      </c>
      <c r="P39" s="3">
        <v>46145</v>
      </c>
      <c r="Q39" s="3">
        <v>46154</v>
      </c>
      <c r="R39" s="1" t="s">
        <v>241</v>
      </c>
      <c r="S39" s="10">
        <v>100</v>
      </c>
      <c r="T39" s="11">
        <v>20</v>
      </c>
      <c r="U39" s="11">
        <v>20</v>
      </c>
      <c r="V39" t="s">
        <v>464</v>
      </c>
    </row>
    <row r="40" spans="1:22" ht="15.75" thickBot="1" x14ac:dyDescent="0.3">
      <c r="A40" s="18" t="s">
        <v>155</v>
      </c>
      <c r="B40" s="1" t="s">
        <v>14</v>
      </c>
      <c r="C40" s="1" t="s">
        <v>47</v>
      </c>
      <c r="D40" s="1" t="s">
        <v>48</v>
      </c>
      <c r="E40" s="1" t="s">
        <v>56</v>
      </c>
      <c r="F40" s="1" t="s">
        <v>450</v>
      </c>
      <c r="G40" s="1" t="s">
        <v>100</v>
      </c>
      <c r="H40" s="1" t="s">
        <v>99</v>
      </c>
      <c r="I40" s="37" t="str">
        <f>VLOOKUP(Tbl_PctTrabajoPlanificado[[#This Row],[Orden mantenimiento]],Data!$E$2:$G$101,2,FALSE)</f>
        <v>C81</v>
      </c>
      <c r="J40" s="37" t="str" cm="1">
        <f t="array" ref="J40">_xlfn.IFS(I40="C81","Pl.Termoelec.Chuq.",I40="C82","Pl.Dist.Energ.Elec",I40="C89","Pl.Mant.Ind.Electr",I40="CO0","Concentradora A0",I40="CO1","Concentradora A1",I40="CO2","Concentradora A2",I40="CB1","SAE Centralizado",I40="C71","Pl.Maestranza.Cent",I40="C72","Pl.Calderería.Cent",I40="C74","CONTRATOS METALMEC",I40="C40","Planif. Refinería",I40="SAPCI","SAPCI",TRUE,"Código no encontrado")</f>
        <v>Pl.Termoelec.Chuq.</v>
      </c>
      <c r="K40" s="1" t="s">
        <v>244</v>
      </c>
      <c r="L40" s="1" t="s">
        <v>245</v>
      </c>
      <c r="M40" s="1" t="s">
        <v>164</v>
      </c>
      <c r="N40" s="1" t="s">
        <v>52</v>
      </c>
      <c r="O40" s="37">
        <f>Tbl_PctTrabajoPlanificado[[#This Row],[Fecha inicio real]]-Tbl_PctTrabajoPlanificado[[#This Row],[Fecha Libera Orden]]</f>
        <v>8</v>
      </c>
      <c r="P40" s="3">
        <v>46145</v>
      </c>
      <c r="Q40" s="3">
        <v>46153</v>
      </c>
      <c r="R40" s="1" t="s">
        <v>246</v>
      </c>
      <c r="S40" s="9">
        <v>100</v>
      </c>
      <c r="T40" s="7">
        <v>6</v>
      </c>
      <c r="U40" s="7">
        <v>6</v>
      </c>
      <c r="V40" t="s">
        <v>464</v>
      </c>
    </row>
    <row r="41" spans="1:22" ht="15.75" thickBot="1" x14ac:dyDescent="0.3">
      <c r="A41" s="18" t="s">
        <v>155</v>
      </c>
      <c r="B41" s="1" t="s">
        <v>14</v>
      </c>
      <c r="C41" s="1" t="s">
        <v>47</v>
      </c>
      <c r="D41" s="1" t="s">
        <v>48</v>
      </c>
      <c r="E41" s="1" t="s">
        <v>56</v>
      </c>
      <c r="F41" s="1" t="s">
        <v>450</v>
      </c>
      <c r="G41" s="1" t="s">
        <v>100</v>
      </c>
      <c r="H41" s="1" t="s">
        <v>99</v>
      </c>
      <c r="I41" s="37" t="str">
        <f>VLOOKUP(Tbl_PctTrabajoPlanificado[[#This Row],[Orden mantenimiento]],Data!$E$2:$G$101,2,FALSE)</f>
        <v>C81</v>
      </c>
      <c r="J41" s="37" t="str" cm="1">
        <f t="array" ref="J41">_xlfn.IFS(I41="C81","Pl.Termoelec.Chuq.",I41="C82","Pl.Dist.Energ.Elec",I41="C89","Pl.Mant.Ind.Electr",I41="CO0","Concentradora A0",I41="CO1","Concentradora A1",I41="CO2","Concentradora A2",I41="CB1","SAE Centralizado",I41="C71","Pl.Maestranza.Cent",I41="C72","Pl.Calderería.Cent",I41="C74","CONTRATOS METALMEC",I41="C40","Planif. Refinería",I41="SAPCI","SAPCI",TRUE,"Código no encontrado")</f>
        <v>Pl.Termoelec.Chuq.</v>
      </c>
      <c r="K41" s="1" t="s">
        <v>247</v>
      </c>
      <c r="L41" s="1" t="s">
        <v>248</v>
      </c>
      <c r="M41" s="1" t="s">
        <v>249</v>
      </c>
      <c r="N41" s="1" t="s">
        <v>52</v>
      </c>
      <c r="O41" s="37">
        <f>Tbl_PctTrabajoPlanificado[[#This Row],[Fecha inicio real]]-Tbl_PctTrabajoPlanificado[[#This Row],[Fecha Libera Orden]]</f>
        <v>9</v>
      </c>
      <c r="P41" s="3">
        <v>46145</v>
      </c>
      <c r="Q41" s="3">
        <v>46154</v>
      </c>
      <c r="R41" s="1" t="s">
        <v>250</v>
      </c>
      <c r="S41" s="10">
        <v>100</v>
      </c>
      <c r="T41" s="11">
        <v>3</v>
      </c>
      <c r="U41" s="11">
        <v>3</v>
      </c>
      <c r="V41" t="s">
        <v>464</v>
      </c>
    </row>
    <row r="42" spans="1:22" ht="15.75" thickBot="1" x14ac:dyDescent="0.3">
      <c r="A42" s="18" t="s">
        <v>155</v>
      </c>
      <c r="B42" s="1" t="s">
        <v>14</v>
      </c>
      <c r="C42" s="1" t="s">
        <v>47</v>
      </c>
      <c r="D42" s="1" t="s">
        <v>48</v>
      </c>
      <c r="E42" s="1" t="s">
        <v>56</v>
      </c>
      <c r="F42" s="1" t="s">
        <v>450</v>
      </c>
      <c r="G42" s="1" t="s">
        <v>100</v>
      </c>
      <c r="H42" s="1" t="s">
        <v>99</v>
      </c>
      <c r="I42" s="37" t="str">
        <f>VLOOKUP(Tbl_PctTrabajoPlanificado[[#This Row],[Orden mantenimiento]],Data!$E$2:$G$101,2,FALSE)</f>
        <v>C81</v>
      </c>
      <c r="J42" s="37" t="str" cm="1">
        <f t="array" ref="J42">_xlfn.IFS(I42="C81","Pl.Termoelec.Chuq.",I42="C82","Pl.Dist.Energ.Elec",I42="C89","Pl.Mant.Ind.Electr",I42="CO0","Concentradora A0",I42="CO1","Concentradora A1",I42="CO2","Concentradora A2",I42="CB1","SAE Centralizado",I42="C71","Pl.Maestranza.Cent",I42="C72","Pl.Calderería.Cent",I42="C74","CONTRATOS METALMEC",I42="C40","Planif. Refinería",I42="SAPCI","SAPCI",TRUE,"Código no encontrado")</f>
        <v>Pl.Termoelec.Chuq.</v>
      </c>
      <c r="K42" s="1" t="s">
        <v>247</v>
      </c>
      <c r="L42" s="1" t="s">
        <v>248</v>
      </c>
      <c r="M42" s="1" t="s">
        <v>249</v>
      </c>
      <c r="N42" s="1" t="s">
        <v>52</v>
      </c>
      <c r="O42" s="37">
        <f>Tbl_PctTrabajoPlanificado[[#This Row],[Fecha inicio real]]-Tbl_PctTrabajoPlanificado[[#This Row],[Fecha Libera Orden]]</f>
        <v>10</v>
      </c>
      <c r="P42" s="3">
        <v>46145</v>
      </c>
      <c r="Q42" s="3">
        <v>46155</v>
      </c>
      <c r="R42" s="1" t="s">
        <v>250</v>
      </c>
      <c r="S42" s="9">
        <v>100</v>
      </c>
      <c r="T42" s="7">
        <v>4</v>
      </c>
      <c r="U42" s="7">
        <v>4</v>
      </c>
      <c r="V42" t="s">
        <v>464</v>
      </c>
    </row>
    <row r="43" spans="1:22" ht="15.75" thickBot="1" x14ac:dyDescent="0.3">
      <c r="A43" s="18" t="s">
        <v>155</v>
      </c>
      <c r="B43" s="1" t="s">
        <v>14</v>
      </c>
      <c r="C43" s="1" t="s">
        <v>47</v>
      </c>
      <c r="D43" s="1" t="s">
        <v>48</v>
      </c>
      <c r="E43" s="1" t="s">
        <v>56</v>
      </c>
      <c r="F43" s="1" t="s">
        <v>450</v>
      </c>
      <c r="G43" s="1" t="s">
        <v>100</v>
      </c>
      <c r="H43" s="1" t="s">
        <v>99</v>
      </c>
      <c r="I43" s="37" t="str">
        <f>VLOOKUP(Tbl_PctTrabajoPlanificado[[#This Row],[Orden mantenimiento]],Data!$E$2:$G$101,2,FALSE)</f>
        <v>C81</v>
      </c>
      <c r="J43" s="37" t="str" cm="1">
        <f t="array" ref="J43">_xlfn.IFS(I43="C81","Pl.Termoelec.Chuq.",I43="C82","Pl.Dist.Energ.Elec",I43="C89","Pl.Mant.Ind.Electr",I43="CO0","Concentradora A0",I43="CO1","Concentradora A1",I43="CO2","Concentradora A2",I43="CB1","SAE Centralizado",I43="C71","Pl.Maestranza.Cent",I43="C72","Pl.Calderería.Cent",I43="C74","CONTRATOS METALMEC",I43="C40","Planif. Refinería",I43="SAPCI","SAPCI",TRUE,"Código no encontrado")</f>
        <v>Pl.Termoelec.Chuq.</v>
      </c>
      <c r="K43" s="1" t="s">
        <v>247</v>
      </c>
      <c r="L43" s="1" t="s">
        <v>248</v>
      </c>
      <c r="M43" s="1" t="s">
        <v>249</v>
      </c>
      <c r="N43" s="1" t="s">
        <v>52</v>
      </c>
      <c r="O43" s="37">
        <f>Tbl_PctTrabajoPlanificado[[#This Row],[Fecha inicio real]]-Tbl_PctTrabajoPlanificado[[#This Row],[Fecha Libera Orden]]</f>
        <v>11</v>
      </c>
      <c r="P43" s="3">
        <v>46145</v>
      </c>
      <c r="Q43" s="3">
        <v>46156</v>
      </c>
      <c r="R43" s="1" t="s">
        <v>250</v>
      </c>
      <c r="S43" s="10">
        <v>100</v>
      </c>
      <c r="T43" s="11">
        <v>4</v>
      </c>
      <c r="U43" s="11">
        <v>4</v>
      </c>
      <c r="V43" t="s">
        <v>464</v>
      </c>
    </row>
    <row r="44" spans="1:22" ht="15.75" thickBot="1" x14ac:dyDescent="0.3">
      <c r="A44" s="18" t="s">
        <v>155</v>
      </c>
      <c r="B44" s="1" t="s">
        <v>14</v>
      </c>
      <c r="C44" s="1" t="s">
        <v>47</v>
      </c>
      <c r="D44" s="1" t="s">
        <v>48</v>
      </c>
      <c r="E44" s="1" t="s">
        <v>56</v>
      </c>
      <c r="F44" s="1" t="s">
        <v>450</v>
      </c>
      <c r="G44" s="1" t="s">
        <v>100</v>
      </c>
      <c r="H44" s="1" t="s">
        <v>99</v>
      </c>
      <c r="I44" s="37" t="str">
        <f>VLOOKUP(Tbl_PctTrabajoPlanificado[[#This Row],[Orden mantenimiento]],Data!$E$2:$G$101,2,FALSE)</f>
        <v>C81</v>
      </c>
      <c r="J44" s="37" t="str" cm="1">
        <f t="array" ref="J44">_xlfn.IFS(I44="C81","Pl.Termoelec.Chuq.",I44="C82","Pl.Dist.Energ.Elec",I44="C89","Pl.Mant.Ind.Electr",I44="CO0","Concentradora A0",I44="CO1","Concentradora A1",I44="CO2","Concentradora A2",I44="CB1","SAE Centralizado",I44="C71","Pl.Maestranza.Cent",I44="C72","Pl.Calderería.Cent",I44="C74","CONTRATOS METALMEC",I44="C40","Planif. Refinería",I44="SAPCI","SAPCI",TRUE,"Código no encontrado")</f>
        <v>Pl.Termoelec.Chuq.</v>
      </c>
      <c r="K44" s="1" t="s">
        <v>251</v>
      </c>
      <c r="L44" s="1" t="s">
        <v>252</v>
      </c>
      <c r="M44" s="1" t="s">
        <v>164</v>
      </c>
      <c r="N44" s="1" t="s">
        <v>52</v>
      </c>
      <c r="O44" s="37">
        <f>Tbl_PctTrabajoPlanificado[[#This Row],[Fecha inicio real]]-Tbl_PctTrabajoPlanificado[[#This Row],[Fecha Libera Orden]]</f>
        <v>10</v>
      </c>
      <c r="P44" s="3">
        <v>46145</v>
      </c>
      <c r="Q44" s="3">
        <v>46155</v>
      </c>
      <c r="R44" s="1" t="s">
        <v>253</v>
      </c>
      <c r="S44" s="9">
        <v>100</v>
      </c>
      <c r="T44" s="7">
        <v>17</v>
      </c>
      <c r="U44" s="7">
        <v>17</v>
      </c>
      <c r="V44" t="s">
        <v>464</v>
      </c>
    </row>
    <row r="45" spans="1:22" ht="15.75" thickBot="1" x14ac:dyDescent="0.3">
      <c r="A45" s="18" t="s">
        <v>155</v>
      </c>
      <c r="B45" s="1" t="s">
        <v>14</v>
      </c>
      <c r="C45" s="1" t="s">
        <v>47</v>
      </c>
      <c r="D45" s="1" t="s">
        <v>48</v>
      </c>
      <c r="E45" s="1" t="s">
        <v>56</v>
      </c>
      <c r="F45" s="1" t="s">
        <v>450</v>
      </c>
      <c r="G45" s="1" t="s">
        <v>100</v>
      </c>
      <c r="H45" s="1" t="s">
        <v>99</v>
      </c>
      <c r="I45" s="37" t="str">
        <f>VLOOKUP(Tbl_PctTrabajoPlanificado[[#This Row],[Orden mantenimiento]],Data!$E$2:$G$101,2,FALSE)</f>
        <v>C81</v>
      </c>
      <c r="J45" s="37" t="str" cm="1">
        <f t="array" ref="J45">_xlfn.IFS(I45="C81","Pl.Termoelec.Chuq.",I45="C82","Pl.Dist.Energ.Elec",I45="C89","Pl.Mant.Ind.Electr",I45="CO0","Concentradora A0",I45="CO1","Concentradora A1",I45="CO2","Concentradora A2",I45="CB1","SAE Centralizado",I45="C71","Pl.Maestranza.Cent",I45="C72","Pl.Calderería.Cent",I45="C74","CONTRATOS METALMEC",I45="C40","Planif. Refinería",I45="SAPCI","SAPCI",TRUE,"Código no encontrado")</f>
        <v>Pl.Termoelec.Chuq.</v>
      </c>
      <c r="K45" s="1" t="s">
        <v>251</v>
      </c>
      <c r="L45" s="1" t="s">
        <v>252</v>
      </c>
      <c r="M45" s="1" t="s">
        <v>174</v>
      </c>
      <c r="N45" s="1" t="s">
        <v>52</v>
      </c>
      <c r="O45" s="37">
        <f>Tbl_PctTrabajoPlanificado[[#This Row],[Fecha inicio real]]-Tbl_PctTrabajoPlanificado[[#This Row],[Fecha Libera Orden]]</f>
        <v>10</v>
      </c>
      <c r="P45" s="3">
        <v>46145</v>
      </c>
      <c r="Q45" s="3">
        <v>46155</v>
      </c>
      <c r="R45" s="1" t="s">
        <v>253</v>
      </c>
      <c r="S45" s="10">
        <v>100</v>
      </c>
      <c r="T45" s="11">
        <v>3</v>
      </c>
      <c r="U45" s="11">
        <v>3</v>
      </c>
      <c r="V45" t="s">
        <v>464</v>
      </c>
    </row>
    <row r="46" spans="1:22" ht="15.75" thickBot="1" x14ac:dyDescent="0.3">
      <c r="A46" s="18" t="s">
        <v>155</v>
      </c>
      <c r="B46" s="1" t="s">
        <v>14</v>
      </c>
      <c r="C46" s="1" t="s">
        <v>47</v>
      </c>
      <c r="D46" s="1" t="s">
        <v>48</v>
      </c>
      <c r="E46" s="1" t="s">
        <v>56</v>
      </c>
      <c r="F46" s="1" t="s">
        <v>450</v>
      </c>
      <c r="G46" s="1" t="s">
        <v>100</v>
      </c>
      <c r="H46" s="1" t="s">
        <v>99</v>
      </c>
      <c r="I46" s="37" t="str">
        <f>VLOOKUP(Tbl_PctTrabajoPlanificado[[#This Row],[Orden mantenimiento]],Data!$E$2:$G$101,2,FALSE)</f>
        <v>C81</v>
      </c>
      <c r="J46" s="37" t="str" cm="1">
        <f t="array" ref="J46">_xlfn.IFS(I46="C81","Pl.Termoelec.Chuq.",I46="C82","Pl.Dist.Energ.Elec",I46="C89","Pl.Mant.Ind.Electr",I46="CO0","Concentradora A0",I46="CO1","Concentradora A1",I46="CO2","Concentradora A2",I46="CB1","SAE Centralizado",I46="C71","Pl.Maestranza.Cent",I46="C72","Pl.Calderería.Cent",I46="C74","CONTRATOS METALMEC",I46="C40","Planif. Refinería",I46="SAPCI","SAPCI",TRUE,"Código no encontrado")</f>
        <v>Pl.Termoelec.Chuq.</v>
      </c>
      <c r="K46" s="1" t="s">
        <v>254</v>
      </c>
      <c r="L46" s="1" t="s">
        <v>255</v>
      </c>
      <c r="M46" s="1" t="s">
        <v>164</v>
      </c>
      <c r="N46" s="1" t="s">
        <v>52</v>
      </c>
      <c r="O46" s="37">
        <f>Tbl_PctTrabajoPlanificado[[#This Row],[Fecha inicio real]]-Tbl_PctTrabajoPlanificado[[#This Row],[Fecha Libera Orden]]</f>
        <v>10</v>
      </c>
      <c r="P46" s="3">
        <v>46145</v>
      </c>
      <c r="Q46" s="3">
        <v>46155</v>
      </c>
      <c r="R46" s="1" t="s">
        <v>253</v>
      </c>
      <c r="S46" s="9">
        <v>100</v>
      </c>
      <c r="T46" s="7">
        <v>17</v>
      </c>
      <c r="U46" s="7">
        <v>17</v>
      </c>
      <c r="V46" t="s">
        <v>464</v>
      </c>
    </row>
    <row r="47" spans="1:22" ht="15.75" thickBot="1" x14ac:dyDescent="0.3">
      <c r="A47" s="18" t="s">
        <v>155</v>
      </c>
      <c r="B47" s="1" t="s">
        <v>14</v>
      </c>
      <c r="C47" s="1" t="s">
        <v>47</v>
      </c>
      <c r="D47" s="1" t="s">
        <v>48</v>
      </c>
      <c r="E47" s="1" t="s">
        <v>56</v>
      </c>
      <c r="F47" s="1" t="s">
        <v>450</v>
      </c>
      <c r="G47" s="1" t="s">
        <v>100</v>
      </c>
      <c r="H47" s="1" t="s">
        <v>99</v>
      </c>
      <c r="I47" s="37" t="str">
        <f>VLOOKUP(Tbl_PctTrabajoPlanificado[[#This Row],[Orden mantenimiento]],Data!$E$2:$G$101,2,FALSE)</f>
        <v>C81</v>
      </c>
      <c r="J47" s="37" t="str" cm="1">
        <f t="array" ref="J47">_xlfn.IFS(I47="C81","Pl.Termoelec.Chuq.",I47="C82","Pl.Dist.Energ.Elec",I47="C89","Pl.Mant.Ind.Electr",I47="CO0","Concentradora A0",I47="CO1","Concentradora A1",I47="CO2","Concentradora A2",I47="CB1","SAE Centralizado",I47="C71","Pl.Maestranza.Cent",I47="C72","Pl.Calderería.Cent",I47="C74","CONTRATOS METALMEC",I47="C40","Planif. Refinería",I47="SAPCI","SAPCI",TRUE,"Código no encontrado")</f>
        <v>Pl.Termoelec.Chuq.</v>
      </c>
      <c r="K47" s="1" t="s">
        <v>254</v>
      </c>
      <c r="L47" s="1" t="s">
        <v>255</v>
      </c>
      <c r="M47" s="1" t="s">
        <v>174</v>
      </c>
      <c r="N47" s="1" t="s">
        <v>52</v>
      </c>
      <c r="O47" s="37">
        <f>Tbl_PctTrabajoPlanificado[[#This Row],[Fecha inicio real]]-Tbl_PctTrabajoPlanificado[[#This Row],[Fecha Libera Orden]]</f>
        <v>10</v>
      </c>
      <c r="P47" s="3">
        <v>46145</v>
      </c>
      <c r="Q47" s="3">
        <v>46155</v>
      </c>
      <c r="R47" s="1" t="s">
        <v>253</v>
      </c>
      <c r="S47" s="10">
        <v>100</v>
      </c>
      <c r="T47" s="11">
        <v>3</v>
      </c>
      <c r="U47" s="11">
        <v>3</v>
      </c>
      <c r="V47" t="s">
        <v>464</v>
      </c>
    </row>
    <row r="48" spans="1:22" ht="15.75" thickBot="1" x14ac:dyDescent="0.3">
      <c r="A48" s="18" t="s">
        <v>155</v>
      </c>
      <c r="B48" s="1" t="s">
        <v>14</v>
      </c>
      <c r="C48" s="1" t="s">
        <v>47</v>
      </c>
      <c r="D48" s="1" t="s">
        <v>48</v>
      </c>
      <c r="E48" s="1" t="s">
        <v>56</v>
      </c>
      <c r="F48" s="1" t="s">
        <v>450</v>
      </c>
      <c r="G48" s="1" t="s">
        <v>100</v>
      </c>
      <c r="H48" s="1" t="s">
        <v>99</v>
      </c>
      <c r="I48" s="37" t="str">
        <f>VLOOKUP(Tbl_PctTrabajoPlanificado[[#This Row],[Orden mantenimiento]],Data!$E$2:$G$101,2,FALSE)</f>
        <v>C81</v>
      </c>
      <c r="J48" s="37" t="str" cm="1">
        <f t="array" ref="J48">_xlfn.IFS(I48="C81","Pl.Termoelec.Chuq.",I48="C82","Pl.Dist.Energ.Elec",I48="C89","Pl.Mant.Ind.Electr",I48="CO0","Concentradora A0",I48="CO1","Concentradora A1",I48="CO2","Concentradora A2",I48="CB1","SAE Centralizado",I48="C71","Pl.Maestranza.Cent",I48="C72","Pl.Calderería.Cent",I48="C74","CONTRATOS METALMEC",I48="C40","Planif. Refinería",I48="SAPCI","SAPCI",TRUE,"Código no encontrado")</f>
        <v>Pl.Termoelec.Chuq.</v>
      </c>
      <c r="K48" s="1" t="s">
        <v>256</v>
      </c>
      <c r="L48" s="1" t="s">
        <v>257</v>
      </c>
      <c r="M48" s="1" t="s">
        <v>164</v>
      </c>
      <c r="N48" s="1" t="s">
        <v>52</v>
      </c>
      <c r="O48" s="37">
        <f>Tbl_PctTrabajoPlanificado[[#This Row],[Fecha inicio real]]-Tbl_PctTrabajoPlanificado[[#This Row],[Fecha Libera Orden]]</f>
        <v>9</v>
      </c>
      <c r="P48" s="3">
        <v>46145</v>
      </c>
      <c r="Q48" s="3">
        <v>46154</v>
      </c>
      <c r="R48" s="1" t="s">
        <v>258</v>
      </c>
      <c r="S48" s="9">
        <v>100</v>
      </c>
      <c r="T48" s="7">
        <v>15</v>
      </c>
      <c r="U48" s="7">
        <v>15</v>
      </c>
      <c r="V48" t="s">
        <v>464</v>
      </c>
    </row>
    <row r="49" spans="1:22" ht="15.75" thickBot="1" x14ac:dyDescent="0.3">
      <c r="A49" s="18" t="s">
        <v>155</v>
      </c>
      <c r="B49" s="1" t="s">
        <v>14</v>
      </c>
      <c r="C49" s="1" t="s">
        <v>47</v>
      </c>
      <c r="D49" s="1" t="s">
        <v>48</v>
      </c>
      <c r="E49" s="1" t="s">
        <v>56</v>
      </c>
      <c r="F49" s="1" t="s">
        <v>450</v>
      </c>
      <c r="G49" s="1" t="s">
        <v>100</v>
      </c>
      <c r="H49" s="1" t="s">
        <v>99</v>
      </c>
      <c r="I49" s="37" t="str">
        <f>VLOOKUP(Tbl_PctTrabajoPlanificado[[#This Row],[Orden mantenimiento]],Data!$E$2:$G$101,2,FALSE)</f>
        <v>C81</v>
      </c>
      <c r="J49" s="37" t="str" cm="1">
        <f t="array" ref="J49">_xlfn.IFS(I49="C81","Pl.Termoelec.Chuq.",I49="C82","Pl.Dist.Energ.Elec",I49="C89","Pl.Mant.Ind.Electr",I49="CO0","Concentradora A0",I49="CO1","Concentradora A1",I49="CO2","Concentradora A2",I49="CB1","SAE Centralizado",I49="C71","Pl.Maestranza.Cent",I49="C72","Pl.Calderería.Cent",I49="C74","CONTRATOS METALMEC",I49="C40","Planif. Refinería",I49="SAPCI","SAPCI",TRUE,"Código no encontrado")</f>
        <v>Pl.Termoelec.Chuq.</v>
      </c>
      <c r="K49" s="1" t="s">
        <v>256</v>
      </c>
      <c r="L49" s="1" t="s">
        <v>257</v>
      </c>
      <c r="M49" s="1" t="s">
        <v>174</v>
      </c>
      <c r="N49" s="1" t="s">
        <v>52</v>
      </c>
      <c r="O49" s="37">
        <f>Tbl_PctTrabajoPlanificado[[#This Row],[Fecha inicio real]]-Tbl_PctTrabajoPlanificado[[#This Row],[Fecha Libera Orden]]</f>
        <v>9</v>
      </c>
      <c r="P49" s="3">
        <v>46145</v>
      </c>
      <c r="Q49" s="3">
        <v>46154</v>
      </c>
      <c r="R49" s="1" t="s">
        <v>258</v>
      </c>
      <c r="S49" s="10">
        <v>100</v>
      </c>
      <c r="T49" s="11">
        <v>2</v>
      </c>
      <c r="U49" s="11">
        <v>2</v>
      </c>
      <c r="V49" t="s">
        <v>464</v>
      </c>
    </row>
    <row r="50" spans="1:22" ht="15.75" thickBot="1" x14ac:dyDescent="0.3">
      <c r="A50" s="18" t="s">
        <v>155</v>
      </c>
      <c r="B50" s="1" t="s">
        <v>14</v>
      </c>
      <c r="C50" s="1" t="s">
        <v>47</v>
      </c>
      <c r="D50" s="1" t="s">
        <v>48</v>
      </c>
      <c r="E50" s="1" t="s">
        <v>56</v>
      </c>
      <c r="F50" s="1" t="s">
        <v>450</v>
      </c>
      <c r="G50" s="1" t="s">
        <v>100</v>
      </c>
      <c r="H50" s="1" t="s">
        <v>99</v>
      </c>
      <c r="I50" s="37" t="str">
        <f>VLOOKUP(Tbl_PctTrabajoPlanificado[[#This Row],[Orden mantenimiento]],Data!$E$2:$G$101,2,FALSE)</f>
        <v>C81</v>
      </c>
      <c r="J50" s="37" t="str" cm="1">
        <f t="array" ref="J50">_xlfn.IFS(I50="C81","Pl.Termoelec.Chuq.",I50="C82","Pl.Dist.Energ.Elec",I50="C89","Pl.Mant.Ind.Electr",I50="CO0","Concentradora A0",I50="CO1","Concentradora A1",I50="CO2","Concentradora A2",I50="CB1","SAE Centralizado",I50="C71","Pl.Maestranza.Cent",I50="C72","Pl.Calderería.Cent",I50="C74","CONTRATOS METALMEC",I50="C40","Planif. Refinería",I50="SAPCI","SAPCI",TRUE,"Código no encontrado")</f>
        <v>Pl.Termoelec.Chuq.</v>
      </c>
      <c r="K50" s="1" t="s">
        <v>259</v>
      </c>
      <c r="L50" s="1" t="s">
        <v>260</v>
      </c>
      <c r="M50" s="1" t="s">
        <v>164</v>
      </c>
      <c r="N50" s="1" t="s">
        <v>52</v>
      </c>
      <c r="O50" s="37">
        <f>Tbl_PctTrabajoPlanificado[[#This Row],[Fecha inicio real]]-Tbl_PctTrabajoPlanificado[[#This Row],[Fecha Libera Orden]]</f>
        <v>10</v>
      </c>
      <c r="P50" s="3">
        <v>46145</v>
      </c>
      <c r="Q50" s="3">
        <v>46155</v>
      </c>
      <c r="R50" s="1" t="s">
        <v>261</v>
      </c>
      <c r="S50" s="9">
        <v>100</v>
      </c>
      <c r="T50" s="7">
        <v>15</v>
      </c>
      <c r="U50" s="7">
        <v>15</v>
      </c>
      <c r="V50" t="s">
        <v>464</v>
      </c>
    </row>
    <row r="51" spans="1:22" ht="15.75" thickBot="1" x14ac:dyDescent="0.3">
      <c r="A51" s="18" t="s">
        <v>155</v>
      </c>
      <c r="B51" s="1" t="s">
        <v>14</v>
      </c>
      <c r="C51" s="1" t="s">
        <v>47</v>
      </c>
      <c r="D51" s="1" t="s">
        <v>48</v>
      </c>
      <c r="E51" s="1" t="s">
        <v>56</v>
      </c>
      <c r="F51" s="1" t="s">
        <v>450</v>
      </c>
      <c r="G51" s="1" t="s">
        <v>100</v>
      </c>
      <c r="H51" s="1" t="s">
        <v>99</v>
      </c>
      <c r="I51" s="37" t="str">
        <f>VLOOKUP(Tbl_PctTrabajoPlanificado[[#This Row],[Orden mantenimiento]],Data!$E$2:$G$101,2,FALSE)</f>
        <v>C81</v>
      </c>
      <c r="J51" s="37" t="str" cm="1">
        <f t="array" ref="J51">_xlfn.IFS(I51="C81","Pl.Termoelec.Chuq.",I51="C82","Pl.Dist.Energ.Elec",I51="C89","Pl.Mant.Ind.Electr",I51="CO0","Concentradora A0",I51="CO1","Concentradora A1",I51="CO2","Concentradora A2",I51="CB1","SAE Centralizado",I51="C71","Pl.Maestranza.Cent",I51="C72","Pl.Calderería.Cent",I51="C74","CONTRATOS METALMEC",I51="C40","Planif. Refinería",I51="SAPCI","SAPCI",TRUE,"Código no encontrado")</f>
        <v>Pl.Termoelec.Chuq.</v>
      </c>
      <c r="K51" s="1" t="s">
        <v>259</v>
      </c>
      <c r="L51" s="1" t="s">
        <v>260</v>
      </c>
      <c r="M51" s="1" t="s">
        <v>174</v>
      </c>
      <c r="N51" s="1" t="s">
        <v>52</v>
      </c>
      <c r="O51" s="37">
        <f>Tbl_PctTrabajoPlanificado[[#This Row],[Fecha inicio real]]-Tbl_PctTrabajoPlanificado[[#This Row],[Fecha Libera Orden]]</f>
        <v>10</v>
      </c>
      <c r="P51" s="3">
        <v>46145</v>
      </c>
      <c r="Q51" s="3">
        <v>46155</v>
      </c>
      <c r="R51" s="1" t="s">
        <v>261</v>
      </c>
      <c r="S51" s="10">
        <v>100</v>
      </c>
      <c r="T51" s="11">
        <v>15.4</v>
      </c>
      <c r="U51" s="11">
        <v>15.4</v>
      </c>
      <c r="V51" t="s">
        <v>464</v>
      </c>
    </row>
    <row r="52" spans="1:22" ht="15.75" thickBot="1" x14ac:dyDescent="0.3">
      <c r="A52" s="18" t="s">
        <v>155</v>
      </c>
      <c r="B52" s="1" t="s">
        <v>14</v>
      </c>
      <c r="C52" s="1" t="s">
        <v>47</v>
      </c>
      <c r="D52" s="1" t="s">
        <v>48</v>
      </c>
      <c r="E52" s="1" t="s">
        <v>56</v>
      </c>
      <c r="F52" s="1" t="s">
        <v>450</v>
      </c>
      <c r="G52" s="1" t="s">
        <v>100</v>
      </c>
      <c r="H52" s="1" t="s">
        <v>99</v>
      </c>
      <c r="I52" s="37" t="str">
        <f>VLOOKUP(Tbl_PctTrabajoPlanificado[[#This Row],[Orden mantenimiento]],Data!$E$2:$G$101,2,FALSE)</f>
        <v>C81</v>
      </c>
      <c r="J52" s="37" t="str" cm="1">
        <f t="array" ref="J52">_xlfn.IFS(I52="C81","Pl.Termoelec.Chuq.",I52="C82","Pl.Dist.Energ.Elec",I52="C89","Pl.Mant.Ind.Electr",I52="CO0","Concentradora A0",I52="CO1","Concentradora A1",I52="CO2","Concentradora A2",I52="CB1","SAE Centralizado",I52="C71","Pl.Maestranza.Cent",I52="C72","Pl.Calderería.Cent",I52="C74","CONTRATOS METALMEC",I52="C40","Planif. Refinería",I52="SAPCI","SAPCI",TRUE,"Código no encontrado")</f>
        <v>Pl.Termoelec.Chuq.</v>
      </c>
      <c r="K52" s="1" t="s">
        <v>259</v>
      </c>
      <c r="L52" s="1" t="s">
        <v>260</v>
      </c>
      <c r="M52" s="1" t="s">
        <v>174</v>
      </c>
      <c r="N52" s="1" t="s">
        <v>52</v>
      </c>
      <c r="O52" s="37">
        <f>Tbl_PctTrabajoPlanificado[[#This Row],[Fecha inicio real]]-Tbl_PctTrabajoPlanificado[[#This Row],[Fecha Libera Orden]]</f>
        <v>11</v>
      </c>
      <c r="P52" s="3">
        <v>46145</v>
      </c>
      <c r="Q52" s="3">
        <v>46156</v>
      </c>
      <c r="R52" s="1" t="s">
        <v>261</v>
      </c>
      <c r="S52" s="9">
        <v>100</v>
      </c>
      <c r="T52" s="7">
        <v>11.8</v>
      </c>
      <c r="U52" s="7">
        <v>11.8</v>
      </c>
      <c r="V52" t="s">
        <v>464</v>
      </c>
    </row>
    <row r="53" spans="1:22" ht="15.75" thickBot="1" x14ac:dyDescent="0.3">
      <c r="A53" s="18" t="s">
        <v>155</v>
      </c>
      <c r="B53" s="1" t="s">
        <v>14</v>
      </c>
      <c r="C53" s="1" t="s">
        <v>47</v>
      </c>
      <c r="D53" s="1" t="s">
        <v>48</v>
      </c>
      <c r="E53" s="1" t="s">
        <v>56</v>
      </c>
      <c r="F53" s="1" t="s">
        <v>450</v>
      </c>
      <c r="G53" s="1" t="s">
        <v>100</v>
      </c>
      <c r="H53" s="1" t="s">
        <v>99</v>
      </c>
      <c r="I53" s="37" t="str">
        <f>VLOOKUP(Tbl_PctTrabajoPlanificado[[#This Row],[Orden mantenimiento]],Data!$E$2:$G$101,2,FALSE)</f>
        <v>C81</v>
      </c>
      <c r="J53" s="37" t="str" cm="1">
        <f t="array" ref="J53">_xlfn.IFS(I53="C81","Pl.Termoelec.Chuq.",I53="C82","Pl.Dist.Energ.Elec",I53="C89","Pl.Mant.Ind.Electr",I53="CO0","Concentradora A0",I53="CO1","Concentradora A1",I53="CO2","Concentradora A2",I53="CB1","SAE Centralizado",I53="C71","Pl.Maestranza.Cent",I53="C72","Pl.Calderería.Cent",I53="C74","CONTRATOS METALMEC",I53="C40","Planif. Refinería",I53="SAPCI","SAPCI",TRUE,"Código no encontrado")</f>
        <v>Pl.Termoelec.Chuq.</v>
      </c>
      <c r="K53" s="1" t="s">
        <v>262</v>
      </c>
      <c r="L53" s="1" t="s">
        <v>263</v>
      </c>
      <c r="M53" s="1" t="s">
        <v>164</v>
      </c>
      <c r="N53" s="1" t="s">
        <v>52</v>
      </c>
      <c r="O53" s="37">
        <f>Tbl_PctTrabajoPlanificado[[#This Row],[Fecha inicio real]]-Tbl_PctTrabajoPlanificado[[#This Row],[Fecha Libera Orden]]</f>
        <v>10</v>
      </c>
      <c r="P53" s="3">
        <v>46145</v>
      </c>
      <c r="Q53" s="3">
        <v>46155</v>
      </c>
      <c r="R53" s="1" t="s">
        <v>264</v>
      </c>
      <c r="S53" s="10">
        <v>100</v>
      </c>
      <c r="T53" s="11">
        <v>14</v>
      </c>
      <c r="U53" s="11">
        <v>14</v>
      </c>
      <c r="V53" t="s">
        <v>464</v>
      </c>
    </row>
    <row r="54" spans="1:22" ht="15.75" thickBot="1" x14ac:dyDescent="0.3">
      <c r="A54" s="18" t="s">
        <v>155</v>
      </c>
      <c r="B54" s="1" t="s">
        <v>14</v>
      </c>
      <c r="C54" s="1" t="s">
        <v>47</v>
      </c>
      <c r="D54" s="1" t="s">
        <v>48</v>
      </c>
      <c r="E54" s="1" t="s">
        <v>56</v>
      </c>
      <c r="F54" s="1" t="s">
        <v>450</v>
      </c>
      <c r="G54" s="1" t="s">
        <v>100</v>
      </c>
      <c r="H54" s="1" t="s">
        <v>99</v>
      </c>
      <c r="I54" s="37" t="str">
        <f>VLOOKUP(Tbl_PctTrabajoPlanificado[[#This Row],[Orden mantenimiento]],Data!$E$2:$G$101,2,FALSE)</f>
        <v>C81</v>
      </c>
      <c r="J54" s="37" t="str" cm="1">
        <f t="array" ref="J54">_xlfn.IFS(I54="C81","Pl.Termoelec.Chuq.",I54="C82","Pl.Dist.Energ.Elec",I54="C89","Pl.Mant.Ind.Electr",I54="CO0","Concentradora A0",I54="CO1","Concentradora A1",I54="CO2","Concentradora A2",I54="CB1","SAE Centralizado",I54="C71","Pl.Maestranza.Cent",I54="C72","Pl.Calderería.Cent",I54="C74","CONTRATOS METALMEC",I54="C40","Planif. Refinería",I54="SAPCI","SAPCI",TRUE,"Código no encontrado")</f>
        <v>Pl.Termoelec.Chuq.</v>
      </c>
      <c r="K54" s="1" t="s">
        <v>265</v>
      </c>
      <c r="L54" s="1" t="s">
        <v>266</v>
      </c>
      <c r="M54" s="1" t="s">
        <v>267</v>
      </c>
      <c r="N54" s="1" t="s">
        <v>52</v>
      </c>
      <c r="O54" s="37">
        <f>Tbl_PctTrabajoPlanificado[[#This Row],[Fecha inicio real]]-Tbl_PctTrabajoPlanificado[[#This Row],[Fecha Libera Orden]]</f>
        <v>12</v>
      </c>
      <c r="P54" s="3">
        <v>46145</v>
      </c>
      <c r="Q54" s="3">
        <v>46157</v>
      </c>
      <c r="R54" s="1" t="s">
        <v>268</v>
      </c>
      <c r="S54" s="9">
        <v>100</v>
      </c>
      <c r="T54" s="7">
        <v>4</v>
      </c>
      <c r="U54" s="7">
        <v>4</v>
      </c>
      <c r="V54" t="s">
        <v>464</v>
      </c>
    </row>
    <row r="55" spans="1:22" ht="15.75" thickBot="1" x14ac:dyDescent="0.3">
      <c r="A55" s="18" t="s">
        <v>155</v>
      </c>
      <c r="B55" s="1" t="s">
        <v>14</v>
      </c>
      <c r="C55" s="1" t="s">
        <v>47</v>
      </c>
      <c r="D55" s="1" t="s">
        <v>48</v>
      </c>
      <c r="E55" s="1" t="s">
        <v>56</v>
      </c>
      <c r="F55" s="1" t="s">
        <v>450</v>
      </c>
      <c r="G55" s="1" t="s">
        <v>100</v>
      </c>
      <c r="H55" s="1" t="s">
        <v>99</v>
      </c>
      <c r="I55" s="37" t="str">
        <f>VLOOKUP(Tbl_PctTrabajoPlanificado[[#This Row],[Orden mantenimiento]],Data!$E$2:$G$101,2,FALSE)</f>
        <v>C81</v>
      </c>
      <c r="J55" s="37" t="str" cm="1">
        <f t="array" ref="J55">_xlfn.IFS(I55="C81","Pl.Termoelec.Chuq.",I55="C82","Pl.Dist.Energ.Elec",I55="C89","Pl.Mant.Ind.Electr",I55="CO0","Concentradora A0",I55="CO1","Concentradora A1",I55="CO2","Concentradora A2",I55="CB1","SAE Centralizado",I55="C71","Pl.Maestranza.Cent",I55="C72","Pl.Calderería.Cent",I55="C74","CONTRATOS METALMEC",I55="C40","Planif. Refinería",I55="SAPCI","SAPCI",TRUE,"Código no encontrado")</f>
        <v>Pl.Termoelec.Chuq.</v>
      </c>
      <c r="K55" s="1" t="s">
        <v>265</v>
      </c>
      <c r="L55" s="1" t="s">
        <v>266</v>
      </c>
      <c r="M55" s="1" t="s">
        <v>249</v>
      </c>
      <c r="N55" s="1" t="s">
        <v>52</v>
      </c>
      <c r="O55" s="37">
        <f>Tbl_PctTrabajoPlanificado[[#This Row],[Fecha inicio real]]-Tbl_PctTrabajoPlanificado[[#This Row],[Fecha Libera Orden]]</f>
        <v>8</v>
      </c>
      <c r="P55" s="3">
        <v>46145</v>
      </c>
      <c r="Q55" s="3">
        <v>46153</v>
      </c>
      <c r="R55" s="1" t="s">
        <v>268</v>
      </c>
      <c r="S55" s="10">
        <v>100</v>
      </c>
      <c r="T55" s="11">
        <v>2</v>
      </c>
      <c r="U55" s="11">
        <v>2</v>
      </c>
      <c r="V55" t="s">
        <v>464</v>
      </c>
    </row>
    <row r="56" spans="1:22" ht="15.75" thickBot="1" x14ac:dyDescent="0.3">
      <c r="A56" s="18" t="s">
        <v>155</v>
      </c>
      <c r="B56" s="1" t="s">
        <v>14</v>
      </c>
      <c r="C56" s="1" t="s">
        <v>47</v>
      </c>
      <c r="D56" s="1" t="s">
        <v>48</v>
      </c>
      <c r="E56" s="1" t="s">
        <v>56</v>
      </c>
      <c r="F56" s="1" t="s">
        <v>450</v>
      </c>
      <c r="G56" s="1" t="s">
        <v>100</v>
      </c>
      <c r="H56" s="1" t="s">
        <v>99</v>
      </c>
      <c r="I56" s="37" t="str">
        <f>VLOOKUP(Tbl_PctTrabajoPlanificado[[#This Row],[Orden mantenimiento]],Data!$E$2:$G$101,2,FALSE)</f>
        <v>C81</v>
      </c>
      <c r="J56" s="37" t="str" cm="1">
        <f t="array" ref="J56">_xlfn.IFS(I56="C81","Pl.Termoelec.Chuq.",I56="C82","Pl.Dist.Energ.Elec",I56="C89","Pl.Mant.Ind.Electr",I56="CO0","Concentradora A0",I56="CO1","Concentradora A1",I56="CO2","Concentradora A2",I56="CB1","SAE Centralizado",I56="C71","Pl.Maestranza.Cent",I56="C72","Pl.Calderería.Cent",I56="C74","CONTRATOS METALMEC",I56="C40","Planif. Refinería",I56="SAPCI","SAPCI",TRUE,"Código no encontrado")</f>
        <v>Pl.Termoelec.Chuq.</v>
      </c>
      <c r="K56" s="1" t="s">
        <v>265</v>
      </c>
      <c r="L56" s="1" t="s">
        <v>266</v>
      </c>
      <c r="M56" s="1" t="s">
        <v>249</v>
      </c>
      <c r="N56" s="1" t="s">
        <v>52</v>
      </c>
      <c r="O56" s="37">
        <f>Tbl_PctTrabajoPlanificado[[#This Row],[Fecha inicio real]]-Tbl_PctTrabajoPlanificado[[#This Row],[Fecha Libera Orden]]</f>
        <v>9</v>
      </c>
      <c r="P56" s="3">
        <v>46145</v>
      </c>
      <c r="Q56" s="3">
        <v>46154</v>
      </c>
      <c r="R56" s="1" t="s">
        <v>268</v>
      </c>
      <c r="S56" s="9">
        <v>100</v>
      </c>
      <c r="T56" s="7">
        <v>29</v>
      </c>
      <c r="U56" s="7">
        <v>29</v>
      </c>
      <c r="V56" t="s">
        <v>464</v>
      </c>
    </row>
    <row r="57" spans="1:22" ht="15.75" thickBot="1" x14ac:dyDescent="0.3">
      <c r="A57" s="18" t="s">
        <v>155</v>
      </c>
      <c r="B57" s="1" t="s">
        <v>14</v>
      </c>
      <c r="C57" s="1" t="s">
        <v>47</v>
      </c>
      <c r="D57" s="1" t="s">
        <v>48</v>
      </c>
      <c r="E57" s="1" t="s">
        <v>56</v>
      </c>
      <c r="F57" s="1" t="s">
        <v>450</v>
      </c>
      <c r="G57" s="1" t="s">
        <v>100</v>
      </c>
      <c r="H57" s="1" t="s">
        <v>99</v>
      </c>
      <c r="I57" s="37" t="str">
        <f>VLOOKUP(Tbl_PctTrabajoPlanificado[[#This Row],[Orden mantenimiento]],Data!$E$2:$G$101,2,FALSE)</f>
        <v>C81</v>
      </c>
      <c r="J57" s="37" t="str" cm="1">
        <f t="array" ref="J57">_xlfn.IFS(I57="C81","Pl.Termoelec.Chuq.",I57="C82","Pl.Dist.Energ.Elec",I57="C89","Pl.Mant.Ind.Electr",I57="CO0","Concentradora A0",I57="CO1","Concentradora A1",I57="CO2","Concentradora A2",I57="CB1","SAE Centralizado",I57="C71","Pl.Maestranza.Cent",I57="C72","Pl.Calderería.Cent",I57="C74","CONTRATOS METALMEC",I57="C40","Planif. Refinería",I57="SAPCI","SAPCI",TRUE,"Código no encontrado")</f>
        <v>Pl.Termoelec.Chuq.</v>
      </c>
      <c r="K57" s="1" t="s">
        <v>269</v>
      </c>
      <c r="L57" s="1" t="s">
        <v>270</v>
      </c>
      <c r="M57" s="1" t="s">
        <v>249</v>
      </c>
      <c r="N57" s="1" t="s">
        <v>52</v>
      </c>
      <c r="O57" s="37">
        <f>Tbl_PctTrabajoPlanificado[[#This Row],[Fecha inicio real]]-Tbl_PctTrabajoPlanificado[[#This Row],[Fecha Libera Orden]]</f>
        <v>11</v>
      </c>
      <c r="P57" s="3">
        <v>46148</v>
      </c>
      <c r="Q57" s="3">
        <v>46159</v>
      </c>
      <c r="R57" s="1" t="s">
        <v>268</v>
      </c>
      <c r="S57" s="10">
        <v>100</v>
      </c>
      <c r="T57" s="11">
        <v>4.5</v>
      </c>
      <c r="U57" s="11">
        <v>4.5</v>
      </c>
      <c r="V57" t="s">
        <v>464</v>
      </c>
    </row>
    <row r="58" spans="1:22" ht="15.75" thickBot="1" x14ac:dyDescent="0.3">
      <c r="A58" s="18" t="s">
        <v>155</v>
      </c>
      <c r="B58" s="1" t="s">
        <v>14</v>
      </c>
      <c r="C58" s="1" t="s">
        <v>47</v>
      </c>
      <c r="D58" s="1" t="s">
        <v>48</v>
      </c>
      <c r="E58" s="1" t="s">
        <v>56</v>
      </c>
      <c r="F58" s="1" t="s">
        <v>450</v>
      </c>
      <c r="G58" s="1" t="s">
        <v>54</v>
      </c>
      <c r="H58" s="1" t="s">
        <v>53</v>
      </c>
      <c r="I58" s="37" t="str">
        <f>VLOOKUP(Tbl_PctTrabajoPlanificado[[#This Row],[Orden mantenimiento]],Data!$E$2:$G$101,2,FALSE)</f>
        <v>C81</v>
      </c>
      <c r="J58" s="37" t="str" cm="1">
        <f t="array" ref="J58">_xlfn.IFS(I58="C81","Pl.Termoelec.Chuq.",I58="C82","Pl.Dist.Energ.Elec",I58="C89","Pl.Mant.Ind.Electr",I58="CO0","Concentradora A0",I58="CO1","Concentradora A1",I58="CO2","Concentradora A2",I58="CB1","SAE Centralizado",I58="C71","Pl.Maestranza.Cent",I58="C72","Pl.Calderería.Cent",I58="C74","CONTRATOS METALMEC",I58="C40","Planif. Refinería",I58="SAPCI","SAPCI",TRUE,"Código no encontrado")</f>
        <v>Pl.Termoelec.Chuq.</v>
      </c>
      <c r="K58" s="1" t="s">
        <v>271</v>
      </c>
      <c r="L58" s="1" t="s">
        <v>272</v>
      </c>
      <c r="M58" s="1" t="s">
        <v>267</v>
      </c>
      <c r="N58" s="1" t="s">
        <v>52</v>
      </c>
      <c r="O58" s="37">
        <f>Tbl_PctTrabajoPlanificado[[#This Row],[Fecha inicio real]]-Tbl_PctTrabajoPlanificado[[#This Row],[Fecha Libera Orden]]</f>
        <v>473</v>
      </c>
      <c r="P58" s="3">
        <v>45680</v>
      </c>
      <c r="Q58" s="3">
        <v>46153</v>
      </c>
      <c r="R58" s="1" t="s">
        <v>273</v>
      </c>
      <c r="S58" s="9">
        <v>100</v>
      </c>
      <c r="T58" s="7">
        <v>5</v>
      </c>
      <c r="U58" s="7">
        <v>5</v>
      </c>
      <c r="V58" t="s">
        <v>464</v>
      </c>
    </row>
    <row r="59" spans="1:22" ht="15.75" thickBot="1" x14ac:dyDescent="0.3">
      <c r="A59" s="18" t="s">
        <v>155</v>
      </c>
      <c r="B59" s="1" t="s">
        <v>14</v>
      </c>
      <c r="C59" s="1" t="s">
        <v>47</v>
      </c>
      <c r="D59" s="1" t="s">
        <v>48</v>
      </c>
      <c r="E59" s="1" t="s">
        <v>56</v>
      </c>
      <c r="F59" s="1" t="s">
        <v>450</v>
      </c>
      <c r="G59" s="1" t="s">
        <v>54</v>
      </c>
      <c r="H59" s="1" t="s">
        <v>53</v>
      </c>
      <c r="I59" s="37" t="str">
        <f>VLOOKUP(Tbl_PctTrabajoPlanificado[[#This Row],[Orden mantenimiento]],Data!$E$2:$G$101,2,FALSE)</f>
        <v>C81</v>
      </c>
      <c r="J59" s="37" t="str" cm="1">
        <f t="array" ref="J59">_xlfn.IFS(I59="C81","Pl.Termoelec.Chuq.",I59="C82","Pl.Dist.Energ.Elec",I59="C89","Pl.Mant.Ind.Electr",I59="CO0","Concentradora A0",I59="CO1","Concentradora A1",I59="CO2","Concentradora A2",I59="CB1","SAE Centralizado",I59="C71","Pl.Maestranza.Cent",I59="C72","Pl.Calderería.Cent",I59="C74","CONTRATOS METALMEC",I59="C40","Planif. Refinería",I59="SAPCI","SAPCI",TRUE,"Código no encontrado")</f>
        <v>Pl.Termoelec.Chuq.</v>
      </c>
      <c r="K59" s="1" t="s">
        <v>271</v>
      </c>
      <c r="L59" s="1" t="s">
        <v>272</v>
      </c>
      <c r="M59" s="1" t="s">
        <v>249</v>
      </c>
      <c r="N59" s="1" t="s">
        <v>52</v>
      </c>
      <c r="O59" s="37">
        <f>Tbl_PctTrabajoPlanificado[[#This Row],[Fecha inicio real]]-Tbl_PctTrabajoPlanificado[[#This Row],[Fecha Libera Orden]]</f>
        <v>474</v>
      </c>
      <c r="P59" s="3">
        <v>45680</v>
      </c>
      <c r="Q59" s="3">
        <v>46154</v>
      </c>
      <c r="R59" s="1" t="s">
        <v>273</v>
      </c>
      <c r="S59" s="10">
        <v>100</v>
      </c>
      <c r="T59" s="11">
        <v>4</v>
      </c>
      <c r="U59" s="11">
        <v>4</v>
      </c>
      <c r="V59" t="s">
        <v>464</v>
      </c>
    </row>
    <row r="60" spans="1:22" ht="15.75" thickBot="1" x14ac:dyDescent="0.3">
      <c r="A60" s="18" t="s">
        <v>155</v>
      </c>
      <c r="B60" s="1" t="s">
        <v>14</v>
      </c>
      <c r="C60" s="1" t="s">
        <v>47</v>
      </c>
      <c r="D60" s="1" t="s">
        <v>48</v>
      </c>
      <c r="E60" s="1" t="s">
        <v>56</v>
      </c>
      <c r="F60" s="1" t="s">
        <v>450</v>
      </c>
      <c r="G60" s="1" t="s">
        <v>54</v>
      </c>
      <c r="H60" s="1" t="s">
        <v>53</v>
      </c>
      <c r="I60" s="37" t="str">
        <f>VLOOKUP(Tbl_PctTrabajoPlanificado[[#This Row],[Orden mantenimiento]],Data!$E$2:$G$101,2,FALSE)</f>
        <v>C81</v>
      </c>
      <c r="J60" s="37" t="str" cm="1">
        <f t="array" ref="J60">_xlfn.IFS(I60="C81","Pl.Termoelec.Chuq.",I60="C82","Pl.Dist.Energ.Elec",I60="C89","Pl.Mant.Ind.Electr",I60="CO0","Concentradora A0",I60="CO1","Concentradora A1",I60="CO2","Concentradora A2",I60="CB1","SAE Centralizado",I60="C71","Pl.Maestranza.Cent",I60="C72","Pl.Calderería.Cent",I60="C74","CONTRATOS METALMEC",I60="C40","Planif. Refinería",I60="SAPCI","SAPCI",TRUE,"Código no encontrado")</f>
        <v>Pl.Termoelec.Chuq.</v>
      </c>
      <c r="K60" s="1" t="s">
        <v>274</v>
      </c>
      <c r="L60" s="1" t="s">
        <v>275</v>
      </c>
      <c r="M60" s="1" t="s">
        <v>267</v>
      </c>
      <c r="N60" s="1" t="s">
        <v>52</v>
      </c>
      <c r="O60" s="37">
        <f>Tbl_PctTrabajoPlanificado[[#This Row],[Fecha inicio real]]-Tbl_PctTrabajoPlanificado[[#This Row],[Fecha Libera Orden]]</f>
        <v>453</v>
      </c>
      <c r="P60" s="3">
        <v>45700</v>
      </c>
      <c r="Q60" s="3">
        <v>46153</v>
      </c>
      <c r="R60" s="1" t="s">
        <v>273</v>
      </c>
      <c r="S60" s="9">
        <v>100</v>
      </c>
      <c r="T60" s="7">
        <v>1</v>
      </c>
      <c r="U60" s="7">
        <v>1</v>
      </c>
      <c r="V60" t="s">
        <v>464</v>
      </c>
    </row>
    <row r="61" spans="1:22" ht="15.75" thickBot="1" x14ac:dyDescent="0.3">
      <c r="A61" s="18" t="s">
        <v>155</v>
      </c>
      <c r="B61" s="1" t="s">
        <v>14</v>
      </c>
      <c r="C61" s="1" t="s">
        <v>47</v>
      </c>
      <c r="D61" s="1" t="s">
        <v>48</v>
      </c>
      <c r="E61" s="1" t="s">
        <v>56</v>
      </c>
      <c r="F61" s="1" t="s">
        <v>450</v>
      </c>
      <c r="G61" s="1" t="s">
        <v>54</v>
      </c>
      <c r="H61" s="1" t="s">
        <v>53</v>
      </c>
      <c r="I61" s="37" t="str">
        <f>VLOOKUP(Tbl_PctTrabajoPlanificado[[#This Row],[Orden mantenimiento]],Data!$E$2:$G$101,2,FALSE)</f>
        <v>C81</v>
      </c>
      <c r="J61" s="37" t="str" cm="1">
        <f t="array" ref="J61">_xlfn.IFS(I61="C81","Pl.Termoelec.Chuq.",I61="C82","Pl.Dist.Energ.Elec",I61="C89","Pl.Mant.Ind.Electr",I61="CO0","Concentradora A0",I61="CO1","Concentradora A1",I61="CO2","Concentradora A2",I61="CB1","SAE Centralizado",I61="C71","Pl.Maestranza.Cent",I61="C72","Pl.Calderería.Cent",I61="C74","CONTRATOS METALMEC",I61="C40","Planif. Refinería",I61="SAPCI","SAPCI",TRUE,"Código no encontrado")</f>
        <v>Pl.Termoelec.Chuq.</v>
      </c>
      <c r="K61" s="1" t="s">
        <v>274</v>
      </c>
      <c r="L61" s="1" t="s">
        <v>275</v>
      </c>
      <c r="M61" s="1" t="s">
        <v>249</v>
      </c>
      <c r="N61" s="1" t="s">
        <v>52</v>
      </c>
      <c r="O61" s="37">
        <f>Tbl_PctTrabajoPlanificado[[#This Row],[Fecha inicio real]]-Tbl_PctTrabajoPlanificado[[#This Row],[Fecha Libera Orden]]</f>
        <v>455</v>
      </c>
      <c r="P61" s="3">
        <v>45700</v>
      </c>
      <c r="Q61" s="3">
        <v>46155</v>
      </c>
      <c r="R61" s="1" t="s">
        <v>273</v>
      </c>
      <c r="S61" s="10">
        <v>100</v>
      </c>
      <c r="T61" s="11">
        <v>8</v>
      </c>
      <c r="U61" s="11">
        <v>8</v>
      </c>
      <c r="V61" t="s">
        <v>464</v>
      </c>
    </row>
    <row r="62" spans="1:22" ht="15.75" thickBot="1" x14ac:dyDescent="0.3">
      <c r="A62" s="18" t="s">
        <v>155</v>
      </c>
      <c r="B62" s="1" t="s">
        <v>14</v>
      </c>
      <c r="C62" s="1" t="s">
        <v>47</v>
      </c>
      <c r="D62" s="1" t="s">
        <v>48</v>
      </c>
      <c r="E62" s="1" t="s">
        <v>56</v>
      </c>
      <c r="F62" s="1" t="s">
        <v>450</v>
      </c>
      <c r="G62" s="1" t="s">
        <v>54</v>
      </c>
      <c r="H62" s="1" t="s">
        <v>53</v>
      </c>
      <c r="I62" s="37" t="str">
        <f>VLOOKUP(Tbl_PctTrabajoPlanificado[[#This Row],[Orden mantenimiento]],Data!$E$2:$G$101,2,FALSE)</f>
        <v>C81</v>
      </c>
      <c r="J62" s="37" t="str" cm="1">
        <f t="array" ref="J62">_xlfn.IFS(I62="C81","Pl.Termoelec.Chuq.",I62="C82","Pl.Dist.Energ.Elec",I62="C89","Pl.Mant.Ind.Electr",I62="CO0","Concentradora A0",I62="CO1","Concentradora A1",I62="CO2","Concentradora A2",I62="CB1","SAE Centralizado",I62="C71","Pl.Maestranza.Cent",I62="C72","Pl.Calderería.Cent",I62="C74","CONTRATOS METALMEC",I62="C40","Planif. Refinería",I62="SAPCI","SAPCI",TRUE,"Código no encontrado")</f>
        <v>Pl.Termoelec.Chuq.</v>
      </c>
      <c r="K62" s="1" t="s">
        <v>276</v>
      </c>
      <c r="L62" s="1" t="s">
        <v>277</v>
      </c>
      <c r="M62" s="1" t="s">
        <v>267</v>
      </c>
      <c r="N62" s="1" t="s">
        <v>52</v>
      </c>
      <c r="O62" s="37">
        <f>Tbl_PctTrabajoPlanificado[[#This Row],[Fecha inicio real]]-Tbl_PctTrabajoPlanificado[[#This Row],[Fecha Libera Orden]]</f>
        <v>454</v>
      </c>
      <c r="P62" s="3">
        <v>45700</v>
      </c>
      <c r="Q62" s="3">
        <v>46154</v>
      </c>
      <c r="R62" s="1" t="s">
        <v>273</v>
      </c>
      <c r="S62" s="9">
        <v>100</v>
      </c>
      <c r="T62" s="7">
        <v>1</v>
      </c>
      <c r="U62" s="7">
        <v>1</v>
      </c>
      <c r="V62" t="s">
        <v>464</v>
      </c>
    </row>
    <row r="63" spans="1:22" ht="15.75" thickBot="1" x14ac:dyDescent="0.3">
      <c r="A63" s="18" t="s">
        <v>155</v>
      </c>
      <c r="B63" s="1" t="s">
        <v>14</v>
      </c>
      <c r="C63" s="1" t="s">
        <v>47</v>
      </c>
      <c r="D63" s="1" t="s">
        <v>48</v>
      </c>
      <c r="E63" s="1" t="s">
        <v>56</v>
      </c>
      <c r="F63" s="1" t="s">
        <v>450</v>
      </c>
      <c r="G63" s="1" t="s">
        <v>54</v>
      </c>
      <c r="H63" s="1" t="s">
        <v>53</v>
      </c>
      <c r="I63" s="37" t="str">
        <f>VLOOKUP(Tbl_PctTrabajoPlanificado[[#This Row],[Orden mantenimiento]],Data!$E$2:$G$101,2,FALSE)</f>
        <v>C81</v>
      </c>
      <c r="J63" s="37" t="str" cm="1">
        <f t="array" ref="J63">_xlfn.IFS(I63="C81","Pl.Termoelec.Chuq.",I63="C82","Pl.Dist.Energ.Elec",I63="C89","Pl.Mant.Ind.Electr",I63="CO0","Concentradora A0",I63="CO1","Concentradora A1",I63="CO2","Concentradora A2",I63="CB1","SAE Centralizado",I63="C71","Pl.Maestranza.Cent",I63="C72","Pl.Calderería.Cent",I63="C74","CONTRATOS METALMEC",I63="C40","Planif. Refinería",I63="SAPCI","SAPCI",TRUE,"Código no encontrado")</f>
        <v>Pl.Termoelec.Chuq.</v>
      </c>
      <c r="K63" s="1" t="s">
        <v>276</v>
      </c>
      <c r="L63" s="1" t="s">
        <v>277</v>
      </c>
      <c r="M63" s="1" t="s">
        <v>249</v>
      </c>
      <c r="N63" s="1" t="s">
        <v>52</v>
      </c>
      <c r="O63" s="37">
        <f>Tbl_PctTrabajoPlanificado[[#This Row],[Fecha inicio real]]-Tbl_PctTrabajoPlanificado[[#This Row],[Fecha Libera Orden]]</f>
        <v>456</v>
      </c>
      <c r="P63" s="3">
        <v>45700</v>
      </c>
      <c r="Q63" s="3">
        <v>46156</v>
      </c>
      <c r="R63" s="1" t="s">
        <v>273</v>
      </c>
      <c r="S63" s="10">
        <v>100</v>
      </c>
      <c r="T63" s="11">
        <v>8</v>
      </c>
      <c r="U63" s="11">
        <v>8</v>
      </c>
      <c r="V63" t="s">
        <v>464</v>
      </c>
    </row>
    <row r="64" spans="1:22" ht="15.75" thickBot="1" x14ac:dyDescent="0.3">
      <c r="A64" s="18" t="s">
        <v>155</v>
      </c>
      <c r="B64" s="1" t="s">
        <v>14</v>
      </c>
      <c r="C64" s="1" t="s">
        <v>47</v>
      </c>
      <c r="D64" s="1" t="s">
        <v>48</v>
      </c>
      <c r="E64" s="1" t="s">
        <v>56</v>
      </c>
      <c r="F64" s="1" t="s">
        <v>450</v>
      </c>
      <c r="G64" s="1" t="s">
        <v>54</v>
      </c>
      <c r="H64" s="1" t="s">
        <v>53</v>
      </c>
      <c r="I64" s="37" t="str">
        <f>VLOOKUP(Tbl_PctTrabajoPlanificado[[#This Row],[Orden mantenimiento]],Data!$E$2:$G$101,2,FALSE)</f>
        <v>C81</v>
      </c>
      <c r="J64" s="37" t="str" cm="1">
        <f t="array" ref="J64">_xlfn.IFS(I64="C81","Pl.Termoelec.Chuq.",I64="C82","Pl.Dist.Energ.Elec",I64="C89","Pl.Mant.Ind.Electr",I64="CO0","Concentradora A0",I64="CO1","Concentradora A1",I64="CO2","Concentradora A2",I64="CB1","SAE Centralizado",I64="C71","Pl.Maestranza.Cent",I64="C72","Pl.Calderería.Cent",I64="C74","CONTRATOS METALMEC",I64="C40","Planif. Refinería",I64="SAPCI","SAPCI",TRUE,"Código no encontrado")</f>
        <v>Pl.Termoelec.Chuq.</v>
      </c>
      <c r="K64" s="1" t="s">
        <v>278</v>
      </c>
      <c r="L64" s="1" t="s">
        <v>279</v>
      </c>
      <c r="M64" s="1" t="s">
        <v>267</v>
      </c>
      <c r="N64" s="1" t="s">
        <v>52</v>
      </c>
      <c r="O64" s="37">
        <f>Tbl_PctTrabajoPlanificado[[#This Row],[Fecha inicio real]]-Tbl_PctTrabajoPlanificado[[#This Row],[Fecha Libera Orden]]</f>
        <v>432</v>
      </c>
      <c r="P64" s="3">
        <v>45722</v>
      </c>
      <c r="Q64" s="3">
        <v>46154</v>
      </c>
      <c r="R64" s="1" t="s">
        <v>273</v>
      </c>
      <c r="S64" s="9">
        <v>100</v>
      </c>
      <c r="T64" s="7">
        <v>1</v>
      </c>
      <c r="U64" s="7">
        <v>1</v>
      </c>
      <c r="V64" t="s">
        <v>464</v>
      </c>
    </row>
    <row r="65" spans="1:22" ht="15.75" thickBot="1" x14ac:dyDescent="0.3">
      <c r="A65" s="18" t="s">
        <v>155</v>
      </c>
      <c r="B65" s="1" t="s">
        <v>14</v>
      </c>
      <c r="C65" s="1" t="s">
        <v>47</v>
      </c>
      <c r="D65" s="1" t="s">
        <v>48</v>
      </c>
      <c r="E65" s="1" t="s">
        <v>56</v>
      </c>
      <c r="F65" s="1" t="s">
        <v>450</v>
      </c>
      <c r="G65" s="1" t="s">
        <v>54</v>
      </c>
      <c r="H65" s="1" t="s">
        <v>53</v>
      </c>
      <c r="I65" s="37" t="str">
        <f>VLOOKUP(Tbl_PctTrabajoPlanificado[[#This Row],[Orden mantenimiento]],Data!$E$2:$G$101,2,FALSE)</f>
        <v>C81</v>
      </c>
      <c r="J65" s="37" t="str" cm="1">
        <f t="array" ref="J65">_xlfn.IFS(I65="C81","Pl.Termoelec.Chuq.",I65="C82","Pl.Dist.Energ.Elec",I65="C89","Pl.Mant.Ind.Electr",I65="CO0","Concentradora A0",I65="CO1","Concentradora A1",I65="CO2","Concentradora A2",I65="CB1","SAE Centralizado",I65="C71","Pl.Maestranza.Cent",I65="C72","Pl.Calderería.Cent",I65="C74","CONTRATOS METALMEC",I65="C40","Planif. Refinería",I65="SAPCI","SAPCI",TRUE,"Código no encontrado")</f>
        <v>Pl.Termoelec.Chuq.</v>
      </c>
      <c r="K65" s="1" t="s">
        <v>278</v>
      </c>
      <c r="L65" s="1" t="s">
        <v>279</v>
      </c>
      <c r="M65" s="1" t="s">
        <v>249</v>
      </c>
      <c r="N65" s="1" t="s">
        <v>52</v>
      </c>
      <c r="O65" s="37">
        <f>Tbl_PctTrabajoPlanificado[[#This Row],[Fecha inicio real]]-Tbl_PctTrabajoPlanificado[[#This Row],[Fecha Libera Orden]]</f>
        <v>435</v>
      </c>
      <c r="P65" s="3">
        <v>45722</v>
      </c>
      <c r="Q65" s="3">
        <v>46157</v>
      </c>
      <c r="R65" s="1" t="s">
        <v>273</v>
      </c>
      <c r="S65" s="10">
        <v>100</v>
      </c>
      <c r="T65" s="11">
        <v>16</v>
      </c>
      <c r="U65" s="11">
        <v>16</v>
      </c>
      <c r="V65" t="s">
        <v>464</v>
      </c>
    </row>
    <row r="66" spans="1:22" ht="15.75" thickBot="1" x14ac:dyDescent="0.3">
      <c r="A66" s="18" t="s">
        <v>155</v>
      </c>
      <c r="B66" s="1" t="s">
        <v>14</v>
      </c>
      <c r="C66" s="1" t="s">
        <v>47</v>
      </c>
      <c r="D66" s="1" t="s">
        <v>48</v>
      </c>
      <c r="E66" s="1" t="s">
        <v>56</v>
      </c>
      <c r="F66" s="1" t="s">
        <v>450</v>
      </c>
      <c r="G66" s="1" t="s">
        <v>54</v>
      </c>
      <c r="H66" s="1" t="s">
        <v>53</v>
      </c>
      <c r="I66" s="37" t="str">
        <f>VLOOKUP(Tbl_PctTrabajoPlanificado[[#This Row],[Orden mantenimiento]],Data!$E$2:$G$101,2,FALSE)</f>
        <v>C81</v>
      </c>
      <c r="J66" s="37" t="str" cm="1">
        <f t="array" ref="J66">_xlfn.IFS(I66="C81","Pl.Termoelec.Chuq.",I66="C82","Pl.Dist.Energ.Elec",I66="C89","Pl.Mant.Ind.Electr",I66="CO0","Concentradora A0",I66="CO1","Concentradora A1",I66="CO2","Concentradora A2",I66="CB1","SAE Centralizado",I66="C71","Pl.Maestranza.Cent",I66="C72","Pl.Calderería.Cent",I66="C74","CONTRATOS METALMEC",I66="C40","Planif. Refinería",I66="SAPCI","SAPCI",TRUE,"Código no encontrado")</f>
        <v>Pl.Termoelec.Chuq.</v>
      </c>
      <c r="K66" s="1" t="s">
        <v>280</v>
      </c>
      <c r="L66" s="1" t="s">
        <v>281</v>
      </c>
      <c r="M66" s="1" t="s">
        <v>267</v>
      </c>
      <c r="N66" s="1" t="s">
        <v>52</v>
      </c>
      <c r="O66" s="37">
        <f>Tbl_PctTrabajoPlanificado[[#This Row],[Fecha inicio real]]-Tbl_PctTrabajoPlanificado[[#This Row],[Fecha Libera Orden]]</f>
        <v>412</v>
      </c>
      <c r="P66" s="3">
        <v>45743</v>
      </c>
      <c r="Q66" s="3">
        <v>46155</v>
      </c>
      <c r="R66" s="1" t="s">
        <v>273</v>
      </c>
      <c r="S66" s="9">
        <v>100</v>
      </c>
      <c r="T66" s="7">
        <v>1</v>
      </c>
      <c r="U66" s="7">
        <v>1</v>
      </c>
      <c r="V66" t="s">
        <v>464</v>
      </c>
    </row>
    <row r="67" spans="1:22" ht="15.75" thickBot="1" x14ac:dyDescent="0.3">
      <c r="A67" s="18" t="s">
        <v>155</v>
      </c>
      <c r="B67" s="1" t="s">
        <v>14</v>
      </c>
      <c r="C67" s="1" t="s">
        <v>47</v>
      </c>
      <c r="D67" s="1" t="s">
        <v>48</v>
      </c>
      <c r="E67" s="1" t="s">
        <v>56</v>
      </c>
      <c r="F67" s="1" t="s">
        <v>450</v>
      </c>
      <c r="G67" s="1" t="s">
        <v>54</v>
      </c>
      <c r="H67" s="1" t="s">
        <v>53</v>
      </c>
      <c r="I67" s="37" t="str">
        <f>VLOOKUP(Tbl_PctTrabajoPlanificado[[#This Row],[Orden mantenimiento]],Data!$E$2:$G$101,2,FALSE)</f>
        <v>C81</v>
      </c>
      <c r="J67" s="37" t="str" cm="1">
        <f t="array" ref="J67">_xlfn.IFS(I67="C81","Pl.Termoelec.Chuq.",I67="C82","Pl.Dist.Energ.Elec",I67="C89","Pl.Mant.Ind.Electr",I67="CO0","Concentradora A0",I67="CO1","Concentradora A1",I67="CO2","Concentradora A2",I67="CB1","SAE Centralizado",I67="C71","Pl.Maestranza.Cent",I67="C72","Pl.Calderería.Cent",I67="C74","CONTRATOS METALMEC",I67="C40","Planif. Refinería",I67="SAPCI","SAPCI",TRUE,"Código no encontrado")</f>
        <v>Pl.Termoelec.Chuq.</v>
      </c>
      <c r="K67" s="1" t="s">
        <v>280</v>
      </c>
      <c r="L67" s="1" t="s">
        <v>281</v>
      </c>
      <c r="M67" s="1" t="s">
        <v>249</v>
      </c>
      <c r="N67" s="1" t="s">
        <v>52</v>
      </c>
      <c r="O67" s="37">
        <f>Tbl_PctTrabajoPlanificado[[#This Row],[Fecha inicio real]]-Tbl_PctTrabajoPlanificado[[#This Row],[Fecha Libera Orden]]</f>
        <v>415</v>
      </c>
      <c r="P67" s="3">
        <v>45743</v>
      </c>
      <c r="Q67" s="3">
        <v>46158</v>
      </c>
      <c r="R67" s="1" t="s">
        <v>273</v>
      </c>
      <c r="S67" s="10">
        <v>100</v>
      </c>
      <c r="T67" s="11">
        <v>24</v>
      </c>
      <c r="U67" s="11">
        <v>24</v>
      </c>
      <c r="V67" t="s">
        <v>464</v>
      </c>
    </row>
    <row r="68" spans="1:22" ht="15.75" thickBot="1" x14ac:dyDescent="0.3">
      <c r="A68" s="18" t="s">
        <v>155</v>
      </c>
      <c r="B68" s="1" t="s">
        <v>14</v>
      </c>
      <c r="C68" s="1" t="s">
        <v>47</v>
      </c>
      <c r="D68" s="1" t="s">
        <v>48</v>
      </c>
      <c r="E68" s="1" t="s">
        <v>56</v>
      </c>
      <c r="F68" s="1" t="s">
        <v>450</v>
      </c>
      <c r="G68" s="1" t="s">
        <v>54</v>
      </c>
      <c r="H68" s="1" t="s">
        <v>53</v>
      </c>
      <c r="I68" s="37" t="str">
        <f>VLOOKUP(Tbl_PctTrabajoPlanificado[[#This Row],[Orden mantenimiento]],Data!$E$2:$G$101,2,FALSE)</f>
        <v>C81</v>
      </c>
      <c r="J68" s="37" t="str" cm="1">
        <f t="array" ref="J68">_xlfn.IFS(I68="C81","Pl.Termoelec.Chuq.",I68="C82","Pl.Dist.Energ.Elec",I68="C89","Pl.Mant.Ind.Electr",I68="CO0","Concentradora A0",I68="CO1","Concentradora A1",I68="CO2","Concentradora A2",I68="CB1","SAE Centralizado",I68="C71","Pl.Maestranza.Cent",I68="C72","Pl.Calderería.Cent",I68="C74","CONTRATOS METALMEC",I68="C40","Planif. Refinería",I68="SAPCI","SAPCI",TRUE,"Código no encontrado")</f>
        <v>Pl.Termoelec.Chuq.</v>
      </c>
      <c r="K68" s="1" t="s">
        <v>282</v>
      </c>
      <c r="L68" s="1" t="s">
        <v>283</v>
      </c>
      <c r="M68" s="1" t="s">
        <v>267</v>
      </c>
      <c r="N68" s="1" t="s">
        <v>52</v>
      </c>
      <c r="O68" s="37">
        <f>Tbl_PctTrabajoPlanificado[[#This Row],[Fecha inicio real]]-Tbl_PctTrabajoPlanificado[[#This Row],[Fecha Libera Orden]]</f>
        <v>336</v>
      </c>
      <c r="P68" s="3">
        <v>45819</v>
      </c>
      <c r="Q68" s="3">
        <v>46155</v>
      </c>
      <c r="R68" s="1" t="s">
        <v>23</v>
      </c>
      <c r="S68" s="9">
        <v>0</v>
      </c>
      <c r="T68" s="7">
        <v>0</v>
      </c>
      <c r="U68" s="7">
        <v>2</v>
      </c>
      <c r="V68" t="s">
        <v>462</v>
      </c>
    </row>
    <row r="69" spans="1:22" ht="15.75" thickBot="1" x14ac:dyDescent="0.3">
      <c r="A69" s="18" t="s">
        <v>155</v>
      </c>
      <c r="B69" s="1" t="s">
        <v>14</v>
      </c>
      <c r="C69" s="1" t="s">
        <v>47</v>
      </c>
      <c r="D69" s="1" t="s">
        <v>48</v>
      </c>
      <c r="E69" s="1" t="s">
        <v>56</v>
      </c>
      <c r="F69" s="1" t="s">
        <v>450</v>
      </c>
      <c r="G69" s="1" t="s">
        <v>54</v>
      </c>
      <c r="H69" s="1" t="s">
        <v>53</v>
      </c>
      <c r="I69" s="37" t="str">
        <f>VLOOKUP(Tbl_PctTrabajoPlanificado[[#This Row],[Orden mantenimiento]],Data!$E$2:$G$101,2,FALSE)</f>
        <v>C81</v>
      </c>
      <c r="J69" s="37" t="str" cm="1">
        <f t="array" ref="J69">_xlfn.IFS(I69="C81","Pl.Termoelec.Chuq.",I69="C82","Pl.Dist.Energ.Elec",I69="C89","Pl.Mant.Ind.Electr",I69="CO0","Concentradora A0",I69="CO1","Concentradora A1",I69="CO2","Concentradora A2",I69="CB1","SAE Centralizado",I69="C71","Pl.Maestranza.Cent",I69="C72","Pl.Calderería.Cent",I69="C74","CONTRATOS METALMEC",I69="C40","Planif. Refinería",I69="SAPCI","SAPCI",TRUE,"Código no encontrado")</f>
        <v>Pl.Termoelec.Chuq.</v>
      </c>
      <c r="K69" s="1" t="s">
        <v>282</v>
      </c>
      <c r="L69" s="1" t="s">
        <v>283</v>
      </c>
      <c r="M69" s="1" t="s">
        <v>249</v>
      </c>
      <c r="N69" s="1" t="s">
        <v>52</v>
      </c>
      <c r="O69" s="37">
        <f>Tbl_PctTrabajoPlanificado[[#This Row],[Fecha inicio real]]-Tbl_PctTrabajoPlanificado[[#This Row],[Fecha Libera Orden]]</f>
        <v>334</v>
      </c>
      <c r="P69" s="3">
        <v>45819</v>
      </c>
      <c r="Q69" s="3">
        <v>46153</v>
      </c>
      <c r="R69" s="1" t="s">
        <v>23</v>
      </c>
      <c r="S69" s="10">
        <v>0</v>
      </c>
      <c r="T69" s="11">
        <v>0</v>
      </c>
      <c r="U69" s="11">
        <v>12</v>
      </c>
      <c r="V69" t="s">
        <v>462</v>
      </c>
    </row>
    <row r="70" spans="1:22" ht="15.75" thickBot="1" x14ac:dyDescent="0.3">
      <c r="A70" s="18" t="s">
        <v>155</v>
      </c>
      <c r="B70" s="1" t="s">
        <v>14</v>
      </c>
      <c r="C70" s="1" t="s">
        <v>47</v>
      </c>
      <c r="D70" s="1" t="s">
        <v>48</v>
      </c>
      <c r="E70" s="1" t="s">
        <v>56</v>
      </c>
      <c r="F70" s="1" t="s">
        <v>450</v>
      </c>
      <c r="G70" s="1" t="s">
        <v>54</v>
      </c>
      <c r="H70" s="1" t="s">
        <v>53</v>
      </c>
      <c r="I70" s="37" t="str">
        <f>VLOOKUP(Tbl_PctTrabajoPlanificado[[#This Row],[Orden mantenimiento]],Data!$E$2:$G$101,2,FALSE)</f>
        <v>C81</v>
      </c>
      <c r="J70" s="37" t="str" cm="1">
        <f t="array" ref="J70">_xlfn.IFS(I70="C81","Pl.Termoelec.Chuq.",I70="C82","Pl.Dist.Energ.Elec",I70="C89","Pl.Mant.Ind.Electr",I70="CO0","Concentradora A0",I70="CO1","Concentradora A1",I70="CO2","Concentradora A2",I70="CB1","SAE Centralizado",I70="C71","Pl.Maestranza.Cent",I70="C72","Pl.Calderería.Cent",I70="C74","CONTRATOS METALMEC",I70="C40","Planif. Refinería",I70="SAPCI","SAPCI",TRUE,"Código no encontrado")</f>
        <v>Pl.Termoelec.Chuq.</v>
      </c>
      <c r="K70" s="1" t="s">
        <v>284</v>
      </c>
      <c r="L70" s="1" t="s">
        <v>285</v>
      </c>
      <c r="M70" s="1" t="s">
        <v>267</v>
      </c>
      <c r="N70" s="1" t="s">
        <v>52</v>
      </c>
      <c r="O70" s="37">
        <f>Tbl_PctTrabajoPlanificado[[#This Row],[Fecha inicio real]]-Tbl_PctTrabajoPlanificado[[#This Row],[Fecha Libera Orden]]</f>
        <v>318</v>
      </c>
      <c r="P70" s="3">
        <v>45838</v>
      </c>
      <c r="Q70" s="3">
        <v>46156</v>
      </c>
      <c r="R70" s="1" t="s">
        <v>273</v>
      </c>
      <c r="S70" s="9">
        <v>100</v>
      </c>
      <c r="T70" s="7">
        <v>5</v>
      </c>
      <c r="U70" s="7">
        <v>5</v>
      </c>
      <c r="V70" t="s">
        <v>464</v>
      </c>
    </row>
    <row r="71" spans="1:22" ht="15.75" thickBot="1" x14ac:dyDescent="0.3">
      <c r="A71" s="18" t="s">
        <v>155</v>
      </c>
      <c r="B71" s="1" t="s">
        <v>14</v>
      </c>
      <c r="C71" s="1" t="s">
        <v>47</v>
      </c>
      <c r="D71" s="1" t="s">
        <v>48</v>
      </c>
      <c r="E71" s="1" t="s">
        <v>56</v>
      </c>
      <c r="F71" s="1" t="s">
        <v>450</v>
      </c>
      <c r="G71" s="1" t="s">
        <v>54</v>
      </c>
      <c r="H71" s="1" t="s">
        <v>53</v>
      </c>
      <c r="I71" s="37" t="str">
        <f>VLOOKUP(Tbl_PctTrabajoPlanificado[[#This Row],[Orden mantenimiento]],Data!$E$2:$G$101,2,FALSE)</f>
        <v>C81</v>
      </c>
      <c r="J71" s="37" t="str" cm="1">
        <f t="array" ref="J71">_xlfn.IFS(I71="C81","Pl.Termoelec.Chuq.",I71="C82","Pl.Dist.Energ.Elec",I71="C89","Pl.Mant.Ind.Electr",I71="CO0","Concentradora A0",I71="CO1","Concentradora A1",I71="CO2","Concentradora A2",I71="CB1","SAE Centralizado",I71="C71","Pl.Maestranza.Cent",I71="C72","Pl.Calderería.Cent",I71="C74","CONTRATOS METALMEC",I71="C40","Planif. Refinería",I71="SAPCI","SAPCI",TRUE,"Código no encontrado")</f>
        <v>Pl.Termoelec.Chuq.</v>
      </c>
      <c r="K71" s="1" t="s">
        <v>284</v>
      </c>
      <c r="L71" s="1" t="s">
        <v>285</v>
      </c>
      <c r="M71" s="1" t="s">
        <v>249</v>
      </c>
      <c r="N71" s="1" t="s">
        <v>52</v>
      </c>
      <c r="O71" s="37">
        <f>Tbl_PctTrabajoPlanificado[[#This Row],[Fecha inicio real]]-Tbl_PctTrabajoPlanificado[[#This Row],[Fecha Libera Orden]]</f>
        <v>316</v>
      </c>
      <c r="P71" s="3">
        <v>45838</v>
      </c>
      <c r="Q71" s="3">
        <v>46154</v>
      </c>
      <c r="R71" s="1" t="s">
        <v>273</v>
      </c>
      <c r="S71" s="10">
        <v>100</v>
      </c>
      <c r="T71" s="11">
        <v>24</v>
      </c>
      <c r="U71" s="11">
        <v>24</v>
      </c>
      <c r="V71" t="s">
        <v>464</v>
      </c>
    </row>
    <row r="72" spans="1:22" ht="15.75" thickBot="1" x14ac:dyDescent="0.3">
      <c r="A72" s="18" t="s">
        <v>155</v>
      </c>
      <c r="B72" s="1" t="s">
        <v>14</v>
      </c>
      <c r="C72" s="1" t="s">
        <v>47</v>
      </c>
      <c r="D72" s="1" t="s">
        <v>48</v>
      </c>
      <c r="E72" s="1" t="s">
        <v>56</v>
      </c>
      <c r="F72" s="1" t="s">
        <v>450</v>
      </c>
      <c r="G72" s="1" t="s">
        <v>54</v>
      </c>
      <c r="H72" s="1" t="s">
        <v>53</v>
      </c>
      <c r="I72" s="37" t="str">
        <f>VLOOKUP(Tbl_PctTrabajoPlanificado[[#This Row],[Orden mantenimiento]],Data!$E$2:$G$101,2,FALSE)</f>
        <v>C81</v>
      </c>
      <c r="J72" s="37" t="str" cm="1">
        <f t="array" ref="J72">_xlfn.IFS(I72="C81","Pl.Termoelec.Chuq.",I72="C82","Pl.Dist.Energ.Elec",I72="C89","Pl.Mant.Ind.Electr",I72="CO0","Concentradora A0",I72="CO1","Concentradora A1",I72="CO2","Concentradora A2",I72="CB1","SAE Centralizado",I72="C71","Pl.Maestranza.Cent",I72="C72","Pl.Calderería.Cent",I72="C74","CONTRATOS METALMEC",I72="C40","Planif. Refinería",I72="SAPCI","SAPCI",TRUE,"Código no encontrado")</f>
        <v>Pl.Termoelec.Chuq.</v>
      </c>
      <c r="K72" s="1" t="s">
        <v>286</v>
      </c>
      <c r="L72" s="1" t="s">
        <v>287</v>
      </c>
      <c r="M72" s="1" t="s">
        <v>267</v>
      </c>
      <c r="N72" s="1" t="s">
        <v>52</v>
      </c>
      <c r="O72" s="37">
        <f>Tbl_PctTrabajoPlanificado[[#This Row],[Fecha inicio real]]-Tbl_PctTrabajoPlanificado[[#This Row],[Fecha Libera Orden]]</f>
        <v>319</v>
      </c>
      <c r="P72" s="3">
        <v>45838</v>
      </c>
      <c r="Q72" s="3">
        <v>46157</v>
      </c>
      <c r="R72" s="1" t="s">
        <v>273</v>
      </c>
      <c r="S72" s="9">
        <v>100</v>
      </c>
      <c r="T72" s="7">
        <v>1</v>
      </c>
      <c r="U72" s="7">
        <v>1</v>
      </c>
      <c r="V72" t="s">
        <v>464</v>
      </c>
    </row>
    <row r="73" spans="1:22" ht="15.75" thickBot="1" x14ac:dyDescent="0.3">
      <c r="A73" s="18" t="s">
        <v>155</v>
      </c>
      <c r="B73" s="1" t="s">
        <v>14</v>
      </c>
      <c r="C73" s="1" t="s">
        <v>47</v>
      </c>
      <c r="D73" s="1" t="s">
        <v>48</v>
      </c>
      <c r="E73" s="1" t="s">
        <v>56</v>
      </c>
      <c r="F73" s="1" t="s">
        <v>450</v>
      </c>
      <c r="G73" s="1" t="s">
        <v>54</v>
      </c>
      <c r="H73" s="1" t="s">
        <v>53</v>
      </c>
      <c r="I73" s="37" t="str">
        <f>VLOOKUP(Tbl_PctTrabajoPlanificado[[#This Row],[Orden mantenimiento]],Data!$E$2:$G$101,2,FALSE)</f>
        <v>C81</v>
      </c>
      <c r="J73" s="37" t="str" cm="1">
        <f t="array" ref="J73">_xlfn.IFS(I73="C81","Pl.Termoelec.Chuq.",I73="C82","Pl.Dist.Energ.Elec",I73="C89","Pl.Mant.Ind.Electr",I73="CO0","Concentradora A0",I73="CO1","Concentradora A1",I73="CO2","Concentradora A2",I73="CB1","SAE Centralizado",I73="C71","Pl.Maestranza.Cent",I73="C72","Pl.Calderería.Cent",I73="C74","CONTRATOS METALMEC",I73="C40","Planif. Refinería",I73="SAPCI","SAPCI",TRUE,"Código no encontrado")</f>
        <v>Pl.Termoelec.Chuq.</v>
      </c>
      <c r="K73" s="1" t="s">
        <v>286</v>
      </c>
      <c r="L73" s="1" t="s">
        <v>287</v>
      </c>
      <c r="M73" s="1" t="s">
        <v>249</v>
      </c>
      <c r="N73" s="1" t="s">
        <v>52</v>
      </c>
      <c r="O73" s="37">
        <f>Tbl_PctTrabajoPlanificado[[#This Row],[Fecha inicio real]]-Tbl_PctTrabajoPlanificado[[#This Row],[Fecha Libera Orden]]</f>
        <v>318</v>
      </c>
      <c r="P73" s="3">
        <v>45838</v>
      </c>
      <c r="Q73" s="3">
        <v>46156</v>
      </c>
      <c r="R73" s="1" t="s">
        <v>273</v>
      </c>
      <c r="S73" s="10">
        <v>100</v>
      </c>
      <c r="T73" s="11">
        <v>24</v>
      </c>
      <c r="U73" s="11">
        <v>24</v>
      </c>
      <c r="V73" t="s">
        <v>464</v>
      </c>
    </row>
    <row r="74" spans="1:22" ht="15.75" thickBot="1" x14ac:dyDescent="0.3">
      <c r="A74" s="18" t="s">
        <v>155</v>
      </c>
      <c r="B74" s="1" t="s">
        <v>14</v>
      </c>
      <c r="C74" s="1" t="s">
        <v>47</v>
      </c>
      <c r="D74" s="1" t="s">
        <v>48</v>
      </c>
      <c r="E74" s="1" t="s">
        <v>56</v>
      </c>
      <c r="F74" s="1" t="s">
        <v>450</v>
      </c>
      <c r="G74" s="1" t="s">
        <v>54</v>
      </c>
      <c r="H74" s="1" t="s">
        <v>53</v>
      </c>
      <c r="I74" s="37" t="str">
        <f>VLOOKUP(Tbl_PctTrabajoPlanificado[[#This Row],[Orden mantenimiento]],Data!$E$2:$G$101,2,FALSE)</f>
        <v>C81</v>
      </c>
      <c r="J74" s="37" t="str" cm="1">
        <f t="array" ref="J74">_xlfn.IFS(I74="C81","Pl.Termoelec.Chuq.",I74="C82","Pl.Dist.Energ.Elec",I74="C89","Pl.Mant.Ind.Electr",I74="CO0","Concentradora A0",I74="CO1","Concentradora A1",I74="CO2","Concentradora A2",I74="CB1","SAE Centralizado",I74="C71","Pl.Maestranza.Cent",I74="C72","Pl.Calderería.Cent",I74="C74","CONTRATOS METALMEC",I74="C40","Planif. Refinería",I74="SAPCI","SAPCI",TRUE,"Código no encontrado")</f>
        <v>Pl.Termoelec.Chuq.</v>
      </c>
      <c r="K74" s="1" t="s">
        <v>288</v>
      </c>
      <c r="L74" s="1" t="s">
        <v>289</v>
      </c>
      <c r="M74" s="1" t="s">
        <v>267</v>
      </c>
      <c r="N74" s="1" t="s">
        <v>52</v>
      </c>
      <c r="O74" s="37">
        <f>Tbl_PctTrabajoPlanificado[[#This Row],[Fecha inicio real]]-Tbl_PctTrabajoPlanificado[[#This Row],[Fecha Libera Orden]]</f>
        <v>232</v>
      </c>
      <c r="P74" s="3">
        <v>45925</v>
      </c>
      <c r="Q74" s="3">
        <v>46157</v>
      </c>
      <c r="R74" s="1" t="s">
        <v>273</v>
      </c>
      <c r="S74" s="9">
        <v>100</v>
      </c>
      <c r="T74" s="7">
        <v>3</v>
      </c>
      <c r="U74" s="7">
        <v>3</v>
      </c>
      <c r="V74" t="s">
        <v>464</v>
      </c>
    </row>
    <row r="75" spans="1:22" ht="15.75" thickBot="1" x14ac:dyDescent="0.3">
      <c r="A75" s="18" t="s">
        <v>155</v>
      </c>
      <c r="B75" s="1" t="s">
        <v>14</v>
      </c>
      <c r="C75" s="1" t="s">
        <v>47</v>
      </c>
      <c r="D75" s="1" t="s">
        <v>48</v>
      </c>
      <c r="E75" s="1" t="s">
        <v>56</v>
      </c>
      <c r="F75" s="1" t="s">
        <v>450</v>
      </c>
      <c r="G75" s="1" t="s">
        <v>54</v>
      </c>
      <c r="H75" s="1" t="s">
        <v>53</v>
      </c>
      <c r="I75" s="37" t="str">
        <f>VLOOKUP(Tbl_PctTrabajoPlanificado[[#This Row],[Orden mantenimiento]],Data!$E$2:$G$101,2,FALSE)</f>
        <v>C81</v>
      </c>
      <c r="J75" s="37" t="str" cm="1">
        <f t="array" ref="J75">_xlfn.IFS(I75="C81","Pl.Termoelec.Chuq.",I75="C82","Pl.Dist.Energ.Elec",I75="C89","Pl.Mant.Ind.Electr",I75="CO0","Concentradora A0",I75="CO1","Concentradora A1",I75="CO2","Concentradora A2",I75="CB1","SAE Centralizado",I75="C71","Pl.Maestranza.Cent",I75="C72","Pl.Calderería.Cent",I75="C74","CONTRATOS METALMEC",I75="C40","Planif. Refinería",I75="SAPCI","SAPCI",TRUE,"Código no encontrado")</f>
        <v>Pl.Termoelec.Chuq.</v>
      </c>
      <c r="K75" s="1" t="s">
        <v>288</v>
      </c>
      <c r="L75" s="1" t="s">
        <v>289</v>
      </c>
      <c r="M75" s="1" t="s">
        <v>249</v>
      </c>
      <c r="N75" s="1" t="s">
        <v>52</v>
      </c>
      <c r="O75" s="37">
        <f>Tbl_PctTrabajoPlanificado[[#This Row],[Fecha inicio real]]-Tbl_PctTrabajoPlanificado[[#This Row],[Fecha Libera Orden]]</f>
        <v>230</v>
      </c>
      <c r="P75" s="3">
        <v>45925</v>
      </c>
      <c r="Q75" s="3">
        <v>46155</v>
      </c>
      <c r="R75" s="1" t="s">
        <v>273</v>
      </c>
      <c r="S75" s="10">
        <v>100</v>
      </c>
      <c r="T75" s="11">
        <v>8</v>
      </c>
      <c r="U75" s="11">
        <v>8</v>
      </c>
      <c r="V75" t="s">
        <v>464</v>
      </c>
    </row>
    <row r="76" spans="1:22" ht="15.75" thickBot="1" x14ac:dyDescent="0.3">
      <c r="A76" s="18" t="s">
        <v>155</v>
      </c>
      <c r="B76" s="1" t="s">
        <v>14</v>
      </c>
      <c r="C76" s="1" t="s">
        <v>47</v>
      </c>
      <c r="D76" s="1" t="s">
        <v>48</v>
      </c>
      <c r="E76" s="1" t="s">
        <v>56</v>
      </c>
      <c r="F76" s="1" t="s">
        <v>450</v>
      </c>
      <c r="G76" s="1" t="s">
        <v>54</v>
      </c>
      <c r="H76" s="1" t="s">
        <v>53</v>
      </c>
      <c r="I76" s="37" t="str">
        <f>VLOOKUP(Tbl_PctTrabajoPlanificado[[#This Row],[Orden mantenimiento]],Data!$E$2:$G$101,2,FALSE)</f>
        <v>C81</v>
      </c>
      <c r="J76" s="37" t="str" cm="1">
        <f t="array" ref="J76">_xlfn.IFS(I76="C81","Pl.Termoelec.Chuq.",I76="C82","Pl.Dist.Energ.Elec",I76="C89","Pl.Mant.Ind.Electr",I76="CO0","Concentradora A0",I76="CO1","Concentradora A1",I76="CO2","Concentradora A2",I76="CB1","SAE Centralizado",I76="C71","Pl.Maestranza.Cent",I76="C72","Pl.Calderería.Cent",I76="C74","CONTRATOS METALMEC",I76="C40","Planif. Refinería",I76="SAPCI","SAPCI",TRUE,"Código no encontrado")</f>
        <v>Pl.Termoelec.Chuq.</v>
      </c>
      <c r="K76" s="1" t="s">
        <v>290</v>
      </c>
      <c r="L76" s="1" t="s">
        <v>291</v>
      </c>
      <c r="M76" s="1" t="s">
        <v>267</v>
      </c>
      <c r="N76" s="1" t="s">
        <v>52</v>
      </c>
      <c r="O76" s="37">
        <f>Tbl_PctTrabajoPlanificado[[#This Row],[Fecha inicio real]]-Tbl_PctTrabajoPlanificado[[#This Row],[Fecha Libera Orden]]</f>
        <v>257</v>
      </c>
      <c r="P76" s="3">
        <v>45897</v>
      </c>
      <c r="Q76" s="3">
        <v>46154</v>
      </c>
      <c r="R76" s="1" t="s">
        <v>273</v>
      </c>
      <c r="S76" s="9">
        <v>100</v>
      </c>
      <c r="T76" s="7">
        <v>12</v>
      </c>
      <c r="U76" s="7">
        <v>12</v>
      </c>
      <c r="V76" t="s">
        <v>464</v>
      </c>
    </row>
    <row r="77" spans="1:22" ht="15.75" thickBot="1" x14ac:dyDescent="0.3">
      <c r="A77" s="18" t="s">
        <v>155</v>
      </c>
      <c r="B77" s="1" t="s">
        <v>14</v>
      </c>
      <c r="C77" s="1" t="s">
        <v>47</v>
      </c>
      <c r="D77" s="1" t="s">
        <v>48</v>
      </c>
      <c r="E77" s="1" t="s">
        <v>56</v>
      </c>
      <c r="F77" s="1" t="s">
        <v>450</v>
      </c>
      <c r="G77" s="1" t="s">
        <v>54</v>
      </c>
      <c r="H77" s="1" t="s">
        <v>53</v>
      </c>
      <c r="I77" s="37" t="str">
        <f>VLOOKUP(Tbl_PctTrabajoPlanificado[[#This Row],[Orden mantenimiento]],Data!$E$2:$G$101,2,FALSE)</f>
        <v>C81</v>
      </c>
      <c r="J77" s="37" t="str" cm="1">
        <f t="array" ref="J77">_xlfn.IFS(I77="C81","Pl.Termoelec.Chuq.",I77="C82","Pl.Dist.Energ.Elec",I77="C89","Pl.Mant.Ind.Electr",I77="CO0","Concentradora A0",I77="CO1","Concentradora A1",I77="CO2","Concentradora A2",I77="CB1","SAE Centralizado",I77="C71","Pl.Maestranza.Cent",I77="C72","Pl.Calderería.Cent",I77="C74","CONTRATOS METALMEC",I77="C40","Planif. Refinería",I77="SAPCI","SAPCI",TRUE,"Código no encontrado")</f>
        <v>Pl.Termoelec.Chuq.</v>
      </c>
      <c r="K77" s="1" t="s">
        <v>290</v>
      </c>
      <c r="L77" s="1" t="s">
        <v>291</v>
      </c>
      <c r="M77" s="1" t="s">
        <v>267</v>
      </c>
      <c r="N77" s="1" t="s">
        <v>52</v>
      </c>
      <c r="O77" s="37">
        <f>Tbl_PctTrabajoPlanificado[[#This Row],[Fecha inicio real]]-Tbl_PctTrabajoPlanificado[[#This Row],[Fecha Libera Orden]]</f>
        <v>258</v>
      </c>
      <c r="P77" s="3">
        <v>45897</v>
      </c>
      <c r="Q77" s="3">
        <v>46155</v>
      </c>
      <c r="R77" s="1" t="s">
        <v>273</v>
      </c>
      <c r="S77" s="10">
        <v>100</v>
      </c>
      <c r="T77" s="11">
        <v>1</v>
      </c>
      <c r="U77" s="11">
        <v>1</v>
      </c>
      <c r="V77" t="s">
        <v>464</v>
      </c>
    </row>
    <row r="78" spans="1:22" ht="15.75" thickBot="1" x14ac:dyDescent="0.3">
      <c r="A78" s="18" t="s">
        <v>155</v>
      </c>
      <c r="B78" s="1" t="s">
        <v>14</v>
      </c>
      <c r="C78" s="1" t="s">
        <v>47</v>
      </c>
      <c r="D78" s="1" t="s">
        <v>48</v>
      </c>
      <c r="E78" s="1" t="s">
        <v>56</v>
      </c>
      <c r="F78" s="1" t="s">
        <v>450</v>
      </c>
      <c r="G78" s="1" t="s">
        <v>54</v>
      </c>
      <c r="H78" s="1" t="s">
        <v>53</v>
      </c>
      <c r="I78" s="37" t="str">
        <f>VLOOKUP(Tbl_PctTrabajoPlanificado[[#This Row],[Orden mantenimiento]],Data!$E$2:$G$101,2,FALSE)</f>
        <v>C81</v>
      </c>
      <c r="J78" s="37" t="str" cm="1">
        <f t="array" ref="J78">_xlfn.IFS(I78="C81","Pl.Termoelec.Chuq.",I78="C82","Pl.Dist.Energ.Elec",I78="C89","Pl.Mant.Ind.Electr",I78="CO0","Concentradora A0",I78="CO1","Concentradora A1",I78="CO2","Concentradora A2",I78="CB1","SAE Centralizado",I78="C71","Pl.Maestranza.Cent",I78="C72","Pl.Calderería.Cent",I78="C74","CONTRATOS METALMEC",I78="C40","Planif. Refinería",I78="SAPCI","SAPCI",TRUE,"Código no encontrado")</f>
        <v>Pl.Termoelec.Chuq.</v>
      </c>
      <c r="K78" s="1" t="s">
        <v>290</v>
      </c>
      <c r="L78" s="1" t="s">
        <v>291</v>
      </c>
      <c r="M78" s="1" t="s">
        <v>249</v>
      </c>
      <c r="N78" s="1" t="s">
        <v>52</v>
      </c>
      <c r="O78" s="37">
        <f>Tbl_PctTrabajoPlanificado[[#This Row],[Fecha inicio real]]-Tbl_PctTrabajoPlanificado[[#This Row],[Fecha Libera Orden]]</f>
        <v>259</v>
      </c>
      <c r="P78" s="3">
        <v>45897</v>
      </c>
      <c r="Q78" s="3">
        <v>46156</v>
      </c>
      <c r="R78" s="1" t="s">
        <v>273</v>
      </c>
      <c r="S78" s="9">
        <v>100</v>
      </c>
      <c r="T78" s="7">
        <v>12</v>
      </c>
      <c r="U78" s="7">
        <v>12</v>
      </c>
      <c r="V78" t="s">
        <v>464</v>
      </c>
    </row>
    <row r="79" spans="1:22" ht="15.75" thickBot="1" x14ac:dyDescent="0.3">
      <c r="A79" s="18" t="s">
        <v>155</v>
      </c>
      <c r="B79" s="1" t="s">
        <v>14</v>
      </c>
      <c r="C79" s="1" t="s">
        <v>47</v>
      </c>
      <c r="D79" s="1" t="s">
        <v>48</v>
      </c>
      <c r="E79" s="1" t="s">
        <v>56</v>
      </c>
      <c r="F79" s="1" t="s">
        <v>450</v>
      </c>
      <c r="G79" s="1" t="s">
        <v>54</v>
      </c>
      <c r="H79" s="1" t="s">
        <v>53</v>
      </c>
      <c r="I79" s="37" t="str">
        <f>VLOOKUP(Tbl_PctTrabajoPlanificado[[#This Row],[Orden mantenimiento]],Data!$E$2:$G$101,2,FALSE)</f>
        <v>C81</v>
      </c>
      <c r="J79" s="37" t="str" cm="1">
        <f t="array" ref="J79">_xlfn.IFS(I79="C81","Pl.Termoelec.Chuq.",I79="C82","Pl.Dist.Energ.Elec",I79="C89","Pl.Mant.Ind.Electr",I79="CO0","Concentradora A0",I79="CO1","Concentradora A1",I79="CO2","Concentradora A2",I79="CB1","SAE Centralizado",I79="C71","Pl.Maestranza.Cent",I79="C72","Pl.Calderería.Cent",I79="C74","CONTRATOS METALMEC",I79="C40","Planif. Refinería",I79="SAPCI","SAPCI",TRUE,"Código no encontrado")</f>
        <v>Pl.Termoelec.Chuq.</v>
      </c>
      <c r="K79" s="1" t="s">
        <v>292</v>
      </c>
      <c r="L79" s="1" t="s">
        <v>293</v>
      </c>
      <c r="M79" s="1" t="s">
        <v>267</v>
      </c>
      <c r="N79" s="1" t="s">
        <v>52</v>
      </c>
      <c r="O79" s="37">
        <f>Tbl_PctTrabajoPlanificado[[#This Row],[Fecha inicio real]]-Tbl_PctTrabajoPlanificado[[#This Row],[Fecha Libera Orden]]</f>
        <v>143</v>
      </c>
      <c r="P79" s="3">
        <v>46015</v>
      </c>
      <c r="Q79" s="3">
        <v>46158</v>
      </c>
      <c r="R79" s="1" t="s">
        <v>273</v>
      </c>
      <c r="S79" s="10">
        <v>100</v>
      </c>
      <c r="T79" s="11">
        <v>5</v>
      </c>
      <c r="U79" s="11">
        <v>5</v>
      </c>
      <c r="V79" t="s">
        <v>464</v>
      </c>
    </row>
    <row r="80" spans="1:22" ht="15.75" thickBot="1" x14ac:dyDescent="0.3">
      <c r="A80" s="18" t="s">
        <v>155</v>
      </c>
      <c r="B80" s="1" t="s">
        <v>14</v>
      </c>
      <c r="C80" s="1" t="s">
        <v>47</v>
      </c>
      <c r="D80" s="1" t="s">
        <v>48</v>
      </c>
      <c r="E80" s="1" t="s">
        <v>56</v>
      </c>
      <c r="F80" s="1" t="s">
        <v>450</v>
      </c>
      <c r="G80" s="1" t="s">
        <v>54</v>
      </c>
      <c r="H80" s="1" t="s">
        <v>53</v>
      </c>
      <c r="I80" s="37" t="str">
        <f>VLOOKUP(Tbl_PctTrabajoPlanificado[[#This Row],[Orden mantenimiento]],Data!$E$2:$G$101,2,FALSE)</f>
        <v>C81</v>
      </c>
      <c r="J80" s="37" t="str" cm="1">
        <f t="array" ref="J80">_xlfn.IFS(I80="C81","Pl.Termoelec.Chuq.",I80="C82","Pl.Dist.Energ.Elec",I80="C89","Pl.Mant.Ind.Electr",I80="CO0","Concentradora A0",I80="CO1","Concentradora A1",I80="CO2","Concentradora A2",I80="CB1","SAE Centralizado",I80="C71","Pl.Maestranza.Cent",I80="C72","Pl.Calderería.Cent",I80="C74","CONTRATOS METALMEC",I80="C40","Planif. Refinería",I80="SAPCI","SAPCI",TRUE,"Código no encontrado")</f>
        <v>Pl.Termoelec.Chuq.</v>
      </c>
      <c r="K80" s="1" t="s">
        <v>292</v>
      </c>
      <c r="L80" s="1" t="s">
        <v>293</v>
      </c>
      <c r="M80" s="1" t="s">
        <v>249</v>
      </c>
      <c r="N80" s="1" t="s">
        <v>52</v>
      </c>
      <c r="O80" s="37">
        <f>Tbl_PctTrabajoPlanificado[[#This Row],[Fecha inicio real]]-Tbl_PctTrabajoPlanificado[[#This Row],[Fecha Libera Orden]]</f>
        <v>141</v>
      </c>
      <c r="P80" s="3">
        <v>46015</v>
      </c>
      <c r="Q80" s="3">
        <v>46156</v>
      </c>
      <c r="R80" s="1" t="s">
        <v>273</v>
      </c>
      <c r="S80" s="9">
        <v>100</v>
      </c>
      <c r="T80" s="7">
        <v>18</v>
      </c>
      <c r="U80" s="7">
        <v>18</v>
      </c>
      <c r="V80" t="s">
        <v>464</v>
      </c>
    </row>
    <row r="81" spans="1:22" ht="15.75" thickBot="1" x14ac:dyDescent="0.3">
      <c r="A81" s="18" t="s">
        <v>155</v>
      </c>
      <c r="B81" s="1" t="s">
        <v>14</v>
      </c>
      <c r="C81" s="1" t="s">
        <v>47</v>
      </c>
      <c r="D81" s="1" t="s">
        <v>48</v>
      </c>
      <c r="E81" s="1" t="s">
        <v>56</v>
      </c>
      <c r="F81" s="1" t="s">
        <v>450</v>
      </c>
      <c r="G81" s="1" t="s">
        <v>54</v>
      </c>
      <c r="H81" s="1" t="s">
        <v>53</v>
      </c>
      <c r="I81" s="37" t="str">
        <f>VLOOKUP(Tbl_PctTrabajoPlanificado[[#This Row],[Orden mantenimiento]],Data!$E$2:$G$101,2,FALSE)</f>
        <v>C81</v>
      </c>
      <c r="J81" s="37" t="str" cm="1">
        <f t="array" ref="J81">_xlfn.IFS(I81="C81","Pl.Termoelec.Chuq.",I81="C82","Pl.Dist.Energ.Elec",I81="C89","Pl.Mant.Ind.Electr",I81="CO0","Concentradora A0",I81="CO1","Concentradora A1",I81="CO2","Concentradora A2",I81="CB1","SAE Centralizado",I81="C71","Pl.Maestranza.Cent",I81="C72","Pl.Calderería.Cent",I81="C74","CONTRATOS METALMEC",I81="C40","Planif. Refinería",I81="SAPCI","SAPCI",TRUE,"Código no encontrado")</f>
        <v>Pl.Termoelec.Chuq.</v>
      </c>
      <c r="K81" s="1" t="s">
        <v>294</v>
      </c>
      <c r="L81" s="1" t="s">
        <v>295</v>
      </c>
      <c r="M81" s="1" t="s">
        <v>267</v>
      </c>
      <c r="N81" s="1" t="s">
        <v>52</v>
      </c>
      <c r="O81" s="37">
        <f>Tbl_PctTrabajoPlanificado[[#This Row],[Fecha inicio real]]-Tbl_PctTrabajoPlanificado[[#This Row],[Fecha Libera Orden]]</f>
        <v>18</v>
      </c>
      <c r="P81" s="3">
        <v>46135</v>
      </c>
      <c r="Q81" s="3">
        <v>46153</v>
      </c>
      <c r="R81" s="1" t="s">
        <v>273</v>
      </c>
      <c r="S81" s="10">
        <v>100</v>
      </c>
      <c r="T81" s="11">
        <v>14.2</v>
      </c>
      <c r="U81" s="11">
        <v>14.2</v>
      </c>
      <c r="V81" t="s">
        <v>464</v>
      </c>
    </row>
    <row r="82" spans="1:22" ht="15.75" thickBot="1" x14ac:dyDescent="0.3">
      <c r="A82" s="18" t="s">
        <v>155</v>
      </c>
      <c r="B82" s="1" t="s">
        <v>14</v>
      </c>
      <c r="C82" s="1" t="s">
        <v>47</v>
      </c>
      <c r="D82" s="1" t="s">
        <v>48</v>
      </c>
      <c r="E82" s="1" t="s">
        <v>56</v>
      </c>
      <c r="F82" s="1" t="s">
        <v>450</v>
      </c>
      <c r="G82" s="1" t="s">
        <v>54</v>
      </c>
      <c r="H82" s="1" t="s">
        <v>53</v>
      </c>
      <c r="I82" s="37" t="str">
        <f>VLOOKUP(Tbl_PctTrabajoPlanificado[[#This Row],[Orden mantenimiento]],Data!$E$2:$G$101,2,FALSE)</f>
        <v>C81</v>
      </c>
      <c r="J82" s="37" t="str" cm="1">
        <f t="array" ref="J82">_xlfn.IFS(I82="C81","Pl.Termoelec.Chuq.",I82="C82","Pl.Dist.Energ.Elec",I82="C89","Pl.Mant.Ind.Electr",I82="CO0","Concentradora A0",I82="CO1","Concentradora A1",I82="CO2","Concentradora A2",I82="CB1","SAE Centralizado",I82="C71","Pl.Maestranza.Cent",I82="C72","Pl.Calderería.Cent",I82="C74","CONTRATOS METALMEC",I82="C40","Planif. Refinería",I82="SAPCI","SAPCI",TRUE,"Código no encontrado")</f>
        <v>Pl.Termoelec.Chuq.</v>
      </c>
      <c r="K82" s="1" t="s">
        <v>296</v>
      </c>
      <c r="L82" s="1" t="s">
        <v>297</v>
      </c>
      <c r="M82" s="1" t="s">
        <v>164</v>
      </c>
      <c r="N82" s="1" t="s">
        <v>52</v>
      </c>
      <c r="O82" s="37">
        <f>Tbl_PctTrabajoPlanificado[[#This Row],[Fecha inicio real]]-Tbl_PctTrabajoPlanificado[[#This Row],[Fecha Libera Orden]]</f>
        <v>12</v>
      </c>
      <c r="P82" s="3">
        <v>46145</v>
      </c>
      <c r="Q82" s="3">
        <v>46157</v>
      </c>
      <c r="R82" s="1" t="s">
        <v>273</v>
      </c>
      <c r="S82" s="9">
        <v>100</v>
      </c>
      <c r="T82" s="7">
        <v>20</v>
      </c>
      <c r="U82" s="7">
        <v>20</v>
      </c>
      <c r="V82" t="s">
        <v>464</v>
      </c>
    </row>
    <row r="83" spans="1:22" ht="15.75" thickBot="1" x14ac:dyDescent="0.3">
      <c r="A83" s="18" t="s">
        <v>155</v>
      </c>
      <c r="B83" s="1" t="s">
        <v>14</v>
      </c>
      <c r="C83" s="1" t="s">
        <v>47</v>
      </c>
      <c r="D83" s="1" t="s">
        <v>48</v>
      </c>
      <c r="E83" s="1" t="s">
        <v>56</v>
      </c>
      <c r="F83" s="1" t="s">
        <v>450</v>
      </c>
      <c r="G83" s="1" t="s">
        <v>54</v>
      </c>
      <c r="H83" s="1" t="s">
        <v>53</v>
      </c>
      <c r="I83" s="37" t="str">
        <f>VLOOKUP(Tbl_PctTrabajoPlanificado[[#This Row],[Orden mantenimiento]],Data!$E$2:$G$101,2,FALSE)</f>
        <v>C81</v>
      </c>
      <c r="J83" s="37" t="str" cm="1">
        <f t="array" ref="J83">_xlfn.IFS(I83="C81","Pl.Termoelec.Chuq.",I83="C82","Pl.Dist.Energ.Elec",I83="C89","Pl.Mant.Ind.Electr",I83="CO0","Concentradora A0",I83="CO1","Concentradora A1",I83="CO2","Concentradora A2",I83="CB1","SAE Centralizado",I83="C71","Pl.Maestranza.Cent",I83="C72","Pl.Calderería.Cent",I83="C74","CONTRATOS METALMEC",I83="C40","Planif. Refinería",I83="SAPCI","SAPCI",TRUE,"Código no encontrado")</f>
        <v>Pl.Termoelec.Chuq.</v>
      </c>
      <c r="K83" s="1" t="s">
        <v>296</v>
      </c>
      <c r="L83" s="1" t="s">
        <v>297</v>
      </c>
      <c r="M83" s="1" t="s">
        <v>174</v>
      </c>
      <c r="N83" s="1" t="s">
        <v>52</v>
      </c>
      <c r="O83" s="37">
        <f>Tbl_PctTrabajoPlanificado[[#This Row],[Fecha inicio real]]-Tbl_PctTrabajoPlanificado[[#This Row],[Fecha Libera Orden]]</f>
        <v>12</v>
      </c>
      <c r="P83" s="3">
        <v>46145</v>
      </c>
      <c r="Q83" s="3">
        <v>46157</v>
      </c>
      <c r="R83" s="1" t="s">
        <v>273</v>
      </c>
      <c r="S83" s="10">
        <v>100</v>
      </c>
      <c r="T83" s="11">
        <v>2</v>
      </c>
      <c r="U83" s="11">
        <v>2</v>
      </c>
      <c r="V83" t="s">
        <v>464</v>
      </c>
    </row>
    <row r="84" spans="1:22" ht="15.75" thickBot="1" x14ac:dyDescent="0.3">
      <c r="A84" s="18" t="s">
        <v>155</v>
      </c>
      <c r="B84" s="1" t="s">
        <v>14</v>
      </c>
      <c r="C84" s="1" t="s">
        <v>47</v>
      </c>
      <c r="D84" s="1" t="s">
        <v>48</v>
      </c>
      <c r="E84" s="1" t="s">
        <v>56</v>
      </c>
      <c r="F84" s="1" t="s">
        <v>450</v>
      </c>
      <c r="G84" s="1" t="s">
        <v>54</v>
      </c>
      <c r="H84" s="1" t="s">
        <v>53</v>
      </c>
      <c r="I84" s="37" t="str">
        <f>VLOOKUP(Tbl_PctTrabajoPlanificado[[#This Row],[Orden mantenimiento]],Data!$E$2:$G$101,2,FALSE)</f>
        <v>C81</v>
      </c>
      <c r="J84" s="37" t="str" cm="1">
        <f t="array" ref="J84">_xlfn.IFS(I84="C81","Pl.Termoelec.Chuq.",I84="C82","Pl.Dist.Energ.Elec",I84="C89","Pl.Mant.Ind.Electr",I84="CO0","Concentradora A0",I84="CO1","Concentradora A1",I84="CO2","Concentradora A2",I84="CB1","SAE Centralizado",I84="C71","Pl.Maestranza.Cent",I84="C72","Pl.Calderería.Cent",I84="C74","CONTRATOS METALMEC",I84="C40","Planif. Refinería",I84="SAPCI","SAPCI",TRUE,"Código no encontrado")</f>
        <v>Pl.Termoelec.Chuq.</v>
      </c>
      <c r="K84" s="1" t="s">
        <v>298</v>
      </c>
      <c r="L84" s="1" t="s">
        <v>299</v>
      </c>
      <c r="M84" s="1" t="s">
        <v>267</v>
      </c>
      <c r="N84" s="1" t="s">
        <v>52</v>
      </c>
      <c r="O84" s="37">
        <f>Tbl_PctTrabajoPlanificado[[#This Row],[Fecha inicio real]]-Tbl_PctTrabajoPlanificado[[#This Row],[Fecha Libera Orden]]</f>
        <v>14</v>
      </c>
      <c r="P84" s="3">
        <v>46145</v>
      </c>
      <c r="Q84" s="3">
        <v>46159</v>
      </c>
      <c r="R84" s="1" t="s">
        <v>273</v>
      </c>
      <c r="S84" s="9">
        <v>100</v>
      </c>
      <c r="T84" s="7">
        <v>7.5</v>
      </c>
      <c r="U84" s="7">
        <v>7.5</v>
      </c>
      <c r="V84" t="s">
        <v>464</v>
      </c>
    </row>
    <row r="85" spans="1:22" ht="15.75" thickBot="1" x14ac:dyDescent="0.3">
      <c r="A85" s="18" t="s">
        <v>155</v>
      </c>
      <c r="B85" s="1" t="s">
        <v>14</v>
      </c>
      <c r="C85" s="1" t="s">
        <v>47</v>
      </c>
      <c r="D85" s="1" t="s">
        <v>48</v>
      </c>
      <c r="E85" s="1" t="s">
        <v>56</v>
      </c>
      <c r="F85" s="1" t="s">
        <v>450</v>
      </c>
      <c r="G85" s="1" t="s">
        <v>54</v>
      </c>
      <c r="H85" s="1" t="s">
        <v>53</v>
      </c>
      <c r="I85" s="37" t="str">
        <f>VLOOKUP(Tbl_PctTrabajoPlanificado[[#This Row],[Orden mantenimiento]],Data!$E$2:$G$101,2,FALSE)</f>
        <v>C81</v>
      </c>
      <c r="J85" s="37" t="str" cm="1">
        <f t="array" ref="J85">_xlfn.IFS(I85="C81","Pl.Termoelec.Chuq.",I85="C82","Pl.Dist.Energ.Elec",I85="C89","Pl.Mant.Ind.Electr",I85="CO0","Concentradora A0",I85="CO1","Concentradora A1",I85="CO2","Concentradora A2",I85="CB1","SAE Centralizado",I85="C71","Pl.Maestranza.Cent",I85="C72","Pl.Calderería.Cent",I85="C74","CONTRATOS METALMEC",I85="C40","Planif. Refinería",I85="SAPCI","SAPCI",TRUE,"Código no encontrado")</f>
        <v>Pl.Termoelec.Chuq.</v>
      </c>
      <c r="K85" s="1" t="s">
        <v>298</v>
      </c>
      <c r="L85" s="1" t="s">
        <v>299</v>
      </c>
      <c r="M85" s="1" t="s">
        <v>249</v>
      </c>
      <c r="N85" s="1" t="s">
        <v>52</v>
      </c>
      <c r="O85" s="37">
        <f>Tbl_PctTrabajoPlanificado[[#This Row],[Fecha inicio real]]-Tbl_PctTrabajoPlanificado[[#This Row],[Fecha Libera Orden]]</f>
        <v>13</v>
      </c>
      <c r="P85" s="3">
        <v>46145</v>
      </c>
      <c r="Q85" s="3">
        <v>46158</v>
      </c>
      <c r="R85" s="1" t="s">
        <v>273</v>
      </c>
      <c r="S85" s="10">
        <v>100</v>
      </c>
      <c r="T85" s="11">
        <v>1.4</v>
      </c>
      <c r="U85" s="11">
        <v>1.4</v>
      </c>
      <c r="V85" t="s">
        <v>464</v>
      </c>
    </row>
    <row r="86" spans="1:22" ht="15.75" thickBot="1" x14ac:dyDescent="0.3">
      <c r="A86" s="18" t="s">
        <v>155</v>
      </c>
      <c r="B86" s="1" t="s">
        <v>14</v>
      </c>
      <c r="C86" s="1" t="s">
        <v>47</v>
      </c>
      <c r="D86" s="1" t="s">
        <v>48</v>
      </c>
      <c r="E86" s="1" t="s">
        <v>56</v>
      </c>
      <c r="F86" s="1" t="s">
        <v>450</v>
      </c>
      <c r="G86" s="1" t="s">
        <v>54</v>
      </c>
      <c r="H86" s="1" t="s">
        <v>53</v>
      </c>
      <c r="I86" s="37" t="str">
        <f>VLOOKUP(Tbl_PctTrabajoPlanificado[[#This Row],[Orden mantenimiento]],Data!$E$2:$G$101,2,FALSE)</f>
        <v>C81</v>
      </c>
      <c r="J86" s="37" t="str" cm="1">
        <f t="array" ref="J86">_xlfn.IFS(I86="C81","Pl.Termoelec.Chuq.",I86="C82","Pl.Dist.Energ.Elec",I86="C89","Pl.Mant.Ind.Electr",I86="CO0","Concentradora A0",I86="CO1","Concentradora A1",I86="CO2","Concentradora A2",I86="CB1","SAE Centralizado",I86="C71","Pl.Maestranza.Cent",I86="C72","Pl.Calderería.Cent",I86="C74","CONTRATOS METALMEC",I86="C40","Planif. Refinería",I86="SAPCI","SAPCI",TRUE,"Código no encontrado")</f>
        <v>Pl.Termoelec.Chuq.</v>
      </c>
      <c r="K86" s="1" t="s">
        <v>300</v>
      </c>
      <c r="L86" s="1" t="s">
        <v>301</v>
      </c>
      <c r="M86" s="1" t="s">
        <v>164</v>
      </c>
      <c r="N86" s="1" t="s">
        <v>52</v>
      </c>
      <c r="O86" s="37">
        <f>Tbl_PctTrabajoPlanificado[[#This Row],[Fecha inicio real]]-Tbl_PctTrabajoPlanificado[[#This Row],[Fecha Libera Orden]]</f>
        <v>13</v>
      </c>
      <c r="P86" s="3">
        <v>46145</v>
      </c>
      <c r="Q86" s="3">
        <v>46158</v>
      </c>
      <c r="R86" s="1" t="s">
        <v>273</v>
      </c>
      <c r="S86" s="9">
        <v>100</v>
      </c>
      <c r="T86" s="7">
        <v>2.5</v>
      </c>
      <c r="U86" s="7">
        <v>2.5</v>
      </c>
      <c r="V86" t="s">
        <v>464</v>
      </c>
    </row>
    <row r="87" spans="1:22" ht="15.75" thickBot="1" x14ac:dyDescent="0.3">
      <c r="A87" s="18" t="s">
        <v>155</v>
      </c>
      <c r="B87" s="1" t="s">
        <v>14</v>
      </c>
      <c r="C87" s="1" t="s">
        <v>47</v>
      </c>
      <c r="D87" s="1" t="s">
        <v>48</v>
      </c>
      <c r="E87" s="1" t="s">
        <v>56</v>
      </c>
      <c r="F87" s="1" t="s">
        <v>450</v>
      </c>
      <c r="G87" s="1" t="s">
        <v>54</v>
      </c>
      <c r="H87" s="1" t="s">
        <v>53</v>
      </c>
      <c r="I87" s="37" t="str">
        <f>VLOOKUP(Tbl_PctTrabajoPlanificado[[#This Row],[Orden mantenimiento]],Data!$E$2:$G$101,2,FALSE)</f>
        <v>C81</v>
      </c>
      <c r="J87" s="37" t="str" cm="1">
        <f t="array" ref="J87">_xlfn.IFS(I87="C81","Pl.Termoelec.Chuq.",I87="C82","Pl.Dist.Energ.Elec",I87="C89","Pl.Mant.Ind.Electr",I87="CO0","Concentradora A0",I87="CO1","Concentradora A1",I87="CO2","Concentradora A2",I87="CB1","SAE Centralizado",I87="C71","Pl.Maestranza.Cent",I87="C72","Pl.Calderería.Cent",I87="C74","CONTRATOS METALMEC",I87="C40","Planif. Refinería",I87="SAPCI","SAPCI",TRUE,"Código no encontrado")</f>
        <v>Pl.Termoelec.Chuq.</v>
      </c>
      <c r="K87" s="1" t="s">
        <v>300</v>
      </c>
      <c r="L87" s="1" t="s">
        <v>301</v>
      </c>
      <c r="M87" s="1" t="s">
        <v>174</v>
      </c>
      <c r="N87" s="1" t="s">
        <v>52</v>
      </c>
      <c r="O87" s="37">
        <f>Tbl_PctTrabajoPlanificado[[#This Row],[Fecha inicio real]]-Tbl_PctTrabajoPlanificado[[#This Row],[Fecha Libera Orden]]</f>
        <v>13</v>
      </c>
      <c r="P87" s="3">
        <v>46145</v>
      </c>
      <c r="Q87" s="3">
        <v>46158</v>
      </c>
      <c r="R87" s="1" t="s">
        <v>273</v>
      </c>
      <c r="S87" s="10">
        <v>100</v>
      </c>
      <c r="T87" s="11">
        <v>3.8</v>
      </c>
      <c r="U87" s="11">
        <v>3.8</v>
      </c>
      <c r="V87" t="s">
        <v>464</v>
      </c>
    </row>
    <row r="88" spans="1:22" ht="15.75" thickBot="1" x14ac:dyDescent="0.3">
      <c r="A88" s="18" t="s">
        <v>155</v>
      </c>
      <c r="B88" s="1" t="s">
        <v>14</v>
      </c>
      <c r="C88" s="1" t="s">
        <v>47</v>
      </c>
      <c r="D88" s="1" t="s">
        <v>48</v>
      </c>
      <c r="E88" s="1" t="s">
        <v>56</v>
      </c>
      <c r="F88" s="1" t="s">
        <v>450</v>
      </c>
      <c r="G88" s="1" t="s">
        <v>54</v>
      </c>
      <c r="H88" s="1" t="s">
        <v>53</v>
      </c>
      <c r="I88" s="37" t="str">
        <f>VLOOKUP(Tbl_PctTrabajoPlanificado[[#This Row],[Orden mantenimiento]],Data!$E$2:$G$101,2,FALSE)</f>
        <v>C81</v>
      </c>
      <c r="J88" s="37" t="str" cm="1">
        <f t="array" ref="J88">_xlfn.IFS(I88="C81","Pl.Termoelec.Chuq.",I88="C82","Pl.Dist.Energ.Elec",I88="C89","Pl.Mant.Ind.Electr",I88="CO0","Concentradora A0",I88="CO1","Concentradora A1",I88="CO2","Concentradora A2",I88="CB1","SAE Centralizado",I88="C71","Pl.Maestranza.Cent",I88="C72","Pl.Calderería.Cent",I88="C74","CONTRATOS METALMEC",I88="C40","Planif. Refinería",I88="SAPCI","SAPCI",TRUE,"Código no encontrado")</f>
        <v>Pl.Termoelec.Chuq.</v>
      </c>
      <c r="K88" s="1" t="s">
        <v>302</v>
      </c>
      <c r="L88" s="1" t="s">
        <v>303</v>
      </c>
      <c r="M88" s="1" t="s">
        <v>164</v>
      </c>
      <c r="N88" s="1" t="s">
        <v>52</v>
      </c>
      <c r="O88" s="37">
        <f>Tbl_PctTrabajoPlanificado[[#This Row],[Fecha inicio real]]-Tbl_PctTrabajoPlanificado[[#This Row],[Fecha Libera Orden]]</f>
        <v>8</v>
      </c>
      <c r="P88" s="3">
        <v>46145</v>
      </c>
      <c r="Q88" s="3">
        <v>46153</v>
      </c>
      <c r="R88" s="1" t="s">
        <v>273</v>
      </c>
      <c r="S88" s="9">
        <v>100</v>
      </c>
      <c r="T88" s="7">
        <v>24</v>
      </c>
      <c r="U88" s="7">
        <v>24</v>
      </c>
      <c r="V88" t="s">
        <v>464</v>
      </c>
    </row>
    <row r="89" spans="1:22" ht="15.75" thickBot="1" x14ac:dyDescent="0.3">
      <c r="A89" s="18" t="s">
        <v>155</v>
      </c>
      <c r="B89" s="1" t="s">
        <v>14</v>
      </c>
      <c r="C89" s="1" t="s">
        <v>47</v>
      </c>
      <c r="D89" s="1" t="s">
        <v>48</v>
      </c>
      <c r="E89" s="1" t="s">
        <v>56</v>
      </c>
      <c r="F89" s="1" t="s">
        <v>450</v>
      </c>
      <c r="G89" s="1" t="s">
        <v>54</v>
      </c>
      <c r="H89" s="1" t="s">
        <v>53</v>
      </c>
      <c r="I89" s="37" t="str">
        <f>VLOOKUP(Tbl_PctTrabajoPlanificado[[#This Row],[Orden mantenimiento]],Data!$E$2:$G$101,2,FALSE)</f>
        <v>C81</v>
      </c>
      <c r="J89" s="37" t="str" cm="1">
        <f t="array" ref="J89">_xlfn.IFS(I89="C81","Pl.Termoelec.Chuq.",I89="C82","Pl.Dist.Energ.Elec",I89="C89","Pl.Mant.Ind.Electr",I89="CO0","Concentradora A0",I89="CO1","Concentradora A1",I89="CO2","Concentradora A2",I89="CB1","SAE Centralizado",I89="C71","Pl.Maestranza.Cent",I89="C72","Pl.Calderería.Cent",I89="C74","CONTRATOS METALMEC",I89="C40","Planif. Refinería",I89="SAPCI","SAPCI",TRUE,"Código no encontrado")</f>
        <v>Pl.Termoelec.Chuq.</v>
      </c>
      <c r="K89" s="1" t="s">
        <v>302</v>
      </c>
      <c r="L89" s="1" t="s">
        <v>303</v>
      </c>
      <c r="M89" s="1" t="s">
        <v>164</v>
      </c>
      <c r="N89" s="1" t="s">
        <v>52</v>
      </c>
      <c r="O89" s="37">
        <f>Tbl_PctTrabajoPlanificado[[#This Row],[Fecha inicio real]]-Tbl_PctTrabajoPlanificado[[#This Row],[Fecha Libera Orden]]</f>
        <v>10</v>
      </c>
      <c r="P89" s="3">
        <v>46145</v>
      </c>
      <c r="Q89" s="3">
        <v>46155</v>
      </c>
      <c r="R89" s="1" t="s">
        <v>273</v>
      </c>
      <c r="S89" s="10">
        <v>100</v>
      </c>
      <c r="T89" s="11">
        <v>20</v>
      </c>
      <c r="U89" s="11">
        <v>20</v>
      </c>
      <c r="V89" t="s">
        <v>464</v>
      </c>
    </row>
    <row r="90" spans="1:22" ht="15.75" thickBot="1" x14ac:dyDescent="0.3">
      <c r="A90" s="18" t="s">
        <v>155</v>
      </c>
      <c r="B90" s="1" t="s">
        <v>14</v>
      </c>
      <c r="C90" s="1" t="s">
        <v>47</v>
      </c>
      <c r="D90" s="1" t="s">
        <v>48</v>
      </c>
      <c r="E90" s="1" t="s">
        <v>56</v>
      </c>
      <c r="F90" s="1" t="s">
        <v>450</v>
      </c>
      <c r="G90" s="1" t="s">
        <v>54</v>
      </c>
      <c r="H90" s="1" t="s">
        <v>53</v>
      </c>
      <c r="I90" s="37" t="str">
        <f>VLOOKUP(Tbl_PctTrabajoPlanificado[[#This Row],[Orden mantenimiento]],Data!$E$2:$G$101,2,FALSE)</f>
        <v>C81</v>
      </c>
      <c r="J90" s="37" t="str" cm="1">
        <f t="array" ref="J90">_xlfn.IFS(I90="C81","Pl.Termoelec.Chuq.",I90="C82","Pl.Dist.Energ.Elec",I90="C89","Pl.Mant.Ind.Electr",I90="CO0","Concentradora A0",I90="CO1","Concentradora A1",I90="CO2","Concentradora A2",I90="CB1","SAE Centralizado",I90="C71","Pl.Maestranza.Cent",I90="C72","Pl.Calderería.Cent",I90="C74","CONTRATOS METALMEC",I90="C40","Planif. Refinería",I90="SAPCI","SAPCI",TRUE,"Código no encontrado")</f>
        <v>Pl.Termoelec.Chuq.</v>
      </c>
      <c r="K90" s="1" t="s">
        <v>302</v>
      </c>
      <c r="L90" s="1" t="s">
        <v>303</v>
      </c>
      <c r="M90" s="1" t="s">
        <v>174</v>
      </c>
      <c r="N90" s="1" t="s">
        <v>52</v>
      </c>
      <c r="O90" s="37">
        <f>Tbl_PctTrabajoPlanificado[[#This Row],[Fecha inicio real]]-Tbl_PctTrabajoPlanificado[[#This Row],[Fecha Libera Orden]]</f>
        <v>11</v>
      </c>
      <c r="P90" s="3">
        <v>46145</v>
      </c>
      <c r="Q90" s="3">
        <v>46156</v>
      </c>
      <c r="R90" s="1" t="s">
        <v>273</v>
      </c>
      <c r="S90" s="9">
        <v>100</v>
      </c>
      <c r="T90" s="7">
        <v>2</v>
      </c>
      <c r="U90" s="7">
        <v>2</v>
      </c>
      <c r="V90" t="s">
        <v>464</v>
      </c>
    </row>
    <row r="91" spans="1:22" ht="15.75" thickBot="1" x14ac:dyDescent="0.3">
      <c r="A91" s="18" t="s">
        <v>155</v>
      </c>
      <c r="B91" s="1" t="s">
        <v>14</v>
      </c>
      <c r="C91" s="1" t="s">
        <v>47</v>
      </c>
      <c r="D91" s="1" t="s">
        <v>48</v>
      </c>
      <c r="E91" s="1" t="s">
        <v>56</v>
      </c>
      <c r="F91" s="1" t="s">
        <v>450</v>
      </c>
      <c r="G91" s="1" t="s">
        <v>54</v>
      </c>
      <c r="H91" s="1" t="s">
        <v>53</v>
      </c>
      <c r="I91" s="37" t="str">
        <f>VLOOKUP(Tbl_PctTrabajoPlanificado[[#This Row],[Orden mantenimiento]],Data!$E$2:$G$101,2,FALSE)</f>
        <v>C81</v>
      </c>
      <c r="J91" s="37" t="str" cm="1">
        <f t="array" ref="J91">_xlfn.IFS(I91="C81","Pl.Termoelec.Chuq.",I91="C82","Pl.Dist.Energ.Elec",I91="C89","Pl.Mant.Ind.Electr",I91="CO0","Concentradora A0",I91="CO1","Concentradora A1",I91="CO2","Concentradora A2",I91="CB1","SAE Centralizado",I91="C71","Pl.Maestranza.Cent",I91="C72","Pl.Calderería.Cent",I91="C74","CONTRATOS METALMEC",I91="C40","Planif. Refinería",I91="SAPCI","SAPCI",TRUE,"Código no encontrado")</f>
        <v>Pl.Termoelec.Chuq.</v>
      </c>
      <c r="K91" s="1" t="s">
        <v>304</v>
      </c>
      <c r="L91" s="1" t="s">
        <v>305</v>
      </c>
      <c r="M91" s="1" t="s">
        <v>174</v>
      </c>
      <c r="N91" s="1" t="s">
        <v>52</v>
      </c>
      <c r="O91" s="37">
        <f>Tbl_PctTrabajoPlanificado[[#This Row],[Fecha inicio real]]-Tbl_PctTrabajoPlanificado[[#This Row],[Fecha Libera Orden]]</f>
        <v>14</v>
      </c>
      <c r="P91" s="3">
        <v>46145</v>
      </c>
      <c r="Q91" s="3">
        <v>46159</v>
      </c>
      <c r="R91" s="1" t="s">
        <v>273</v>
      </c>
      <c r="S91" s="10">
        <v>100</v>
      </c>
      <c r="T91" s="11">
        <v>2</v>
      </c>
      <c r="U91" s="11">
        <v>2</v>
      </c>
      <c r="V91" t="s">
        <v>464</v>
      </c>
    </row>
    <row r="92" spans="1:22" ht="15.75" thickBot="1" x14ac:dyDescent="0.3">
      <c r="A92" s="18" t="s">
        <v>155</v>
      </c>
      <c r="B92" s="1" t="s">
        <v>14</v>
      </c>
      <c r="C92" s="1" t="s">
        <v>47</v>
      </c>
      <c r="D92" s="1" t="s">
        <v>48</v>
      </c>
      <c r="E92" s="1" t="s">
        <v>56</v>
      </c>
      <c r="F92" s="1" t="s">
        <v>450</v>
      </c>
      <c r="G92" s="1" t="s">
        <v>54</v>
      </c>
      <c r="H92" s="1" t="s">
        <v>53</v>
      </c>
      <c r="I92" s="37" t="str">
        <f>VLOOKUP(Tbl_PctTrabajoPlanificado[[#This Row],[Orden mantenimiento]],Data!$E$2:$G$101,2,FALSE)</f>
        <v>C81</v>
      </c>
      <c r="J92" s="37" t="str" cm="1">
        <f t="array" ref="J92">_xlfn.IFS(I92="C81","Pl.Termoelec.Chuq.",I92="C82","Pl.Dist.Energ.Elec",I92="C89","Pl.Mant.Ind.Electr",I92="CO0","Concentradora A0",I92="CO1","Concentradora A1",I92="CO2","Concentradora A2",I92="CB1","SAE Centralizado",I92="C71","Pl.Maestranza.Cent",I92="C72","Pl.Calderería.Cent",I92="C74","CONTRATOS METALMEC",I92="C40","Planif. Refinería",I92="SAPCI","SAPCI",TRUE,"Código no encontrado")</f>
        <v>Pl.Termoelec.Chuq.</v>
      </c>
      <c r="K92" s="1" t="s">
        <v>306</v>
      </c>
      <c r="L92" s="1" t="s">
        <v>307</v>
      </c>
      <c r="M92" s="1" t="s">
        <v>249</v>
      </c>
      <c r="N92" s="1" t="s">
        <v>52</v>
      </c>
      <c r="O92" s="37">
        <f>Tbl_PctTrabajoPlanificado[[#This Row],[Fecha inicio real]]-Tbl_PctTrabajoPlanificado[[#This Row],[Fecha Libera Orden]]</f>
        <v>12</v>
      </c>
      <c r="P92" s="3">
        <v>46142</v>
      </c>
      <c r="Q92" s="3">
        <v>46154</v>
      </c>
      <c r="R92" s="1" t="s">
        <v>273</v>
      </c>
      <c r="S92" s="9">
        <v>100</v>
      </c>
      <c r="T92" s="7">
        <v>3</v>
      </c>
      <c r="U92" s="7">
        <v>3</v>
      </c>
      <c r="V92" t="s">
        <v>464</v>
      </c>
    </row>
    <row r="93" spans="1:22" ht="15.75" thickBot="1" x14ac:dyDescent="0.3">
      <c r="A93" s="18" t="s">
        <v>155</v>
      </c>
      <c r="B93" s="1" t="s">
        <v>14</v>
      </c>
      <c r="C93" s="1" t="s">
        <v>47</v>
      </c>
      <c r="D93" s="1" t="s">
        <v>48</v>
      </c>
      <c r="E93" s="1" t="s">
        <v>56</v>
      </c>
      <c r="F93" s="1" t="s">
        <v>450</v>
      </c>
      <c r="G93" s="1" t="s">
        <v>54</v>
      </c>
      <c r="H93" s="1" t="s">
        <v>53</v>
      </c>
      <c r="I93" s="37" t="str">
        <f>VLOOKUP(Tbl_PctTrabajoPlanificado[[#This Row],[Orden mantenimiento]],Data!$E$2:$G$101,2,FALSE)</f>
        <v>C81</v>
      </c>
      <c r="J93" s="37" t="str" cm="1">
        <f t="array" ref="J93">_xlfn.IFS(I93="C81","Pl.Termoelec.Chuq.",I93="C82","Pl.Dist.Energ.Elec",I93="C89","Pl.Mant.Ind.Electr",I93="CO0","Concentradora A0",I93="CO1","Concentradora A1",I93="CO2","Concentradora A2",I93="CB1","SAE Centralizado",I93="C71","Pl.Maestranza.Cent",I93="C72","Pl.Calderería.Cent",I93="C74","CONTRATOS METALMEC",I93="C40","Planif. Refinería",I93="SAPCI","SAPCI",TRUE,"Código no encontrado")</f>
        <v>Pl.Termoelec.Chuq.</v>
      </c>
      <c r="K93" s="1" t="s">
        <v>306</v>
      </c>
      <c r="L93" s="1" t="s">
        <v>307</v>
      </c>
      <c r="M93" s="1" t="s">
        <v>249</v>
      </c>
      <c r="N93" s="1" t="s">
        <v>52</v>
      </c>
      <c r="O93" s="37">
        <f>Tbl_PctTrabajoPlanificado[[#This Row],[Fecha inicio real]]-Tbl_PctTrabajoPlanificado[[#This Row],[Fecha Libera Orden]]</f>
        <v>13</v>
      </c>
      <c r="P93" s="3">
        <v>46142</v>
      </c>
      <c r="Q93" s="3">
        <v>46155</v>
      </c>
      <c r="R93" s="1" t="s">
        <v>273</v>
      </c>
      <c r="S93" s="10">
        <v>100</v>
      </c>
      <c r="T93" s="11">
        <v>30</v>
      </c>
      <c r="U93" s="11">
        <v>30</v>
      </c>
      <c r="V93" t="s">
        <v>464</v>
      </c>
    </row>
    <row r="94" spans="1:22" ht="15.75" thickBot="1" x14ac:dyDescent="0.3">
      <c r="A94" s="18" t="s">
        <v>155</v>
      </c>
      <c r="B94" s="1" t="s">
        <v>14</v>
      </c>
      <c r="C94" s="1" t="s">
        <v>47</v>
      </c>
      <c r="D94" s="1" t="s">
        <v>48</v>
      </c>
      <c r="E94" s="1" t="s">
        <v>56</v>
      </c>
      <c r="F94" s="1" t="s">
        <v>450</v>
      </c>
      <c r="G94" s="1" t="s">
        <v>54</v>
      </c>
      <c r="H94" s="1" t="s">
        <v>53</v>
      </c>
      <c r="I94" s="37" t="str">
        <f>VLOOKUP(Tbl_PctTrabajoPlanificado[[#This Row],[Orden mantenimiento]],Data!$E$2:$G$101,2,FALSE)</f>
        <v>C81</v>
      </c>
      <c r="J94" s="37" t="str" cm="1">
        <f t="array" ref="J94">_xlfn.IFS(I94="C81","Pl.Termoelec.Chuq.",I94="C82","Pl.Dist.Energ.Elec",I94="C89","Pl.Mant.Ind.Electr",I94="CO0","Concentradora A0",I94="CO1","Concentradora A1",I94="CO2","Concentradora A2",I94="CB1","SAE Centralizado",I94="C71","Pl.Maestranza.Cent",I94="C72","Pl.Calderería.Cent",I94="C74","CONTRATOS METALMEC",I94="C40","Planif. Refinería",I94="SAPCI","SAPCI",TRUE,"Código no encontrado")</f>
        <v>Pl.Termoelec.Chuq.</v>
      </c>
      <c r="K94" s="1" t="s">
        <v>306</v>
      </c>
      <c r="L94" s="1" t="s">
        <v>307</v>
      </c>
      <c r="M94" s="1" t="s">
        <v>249</v>
      </c>
      <c r="N94" s="1" t="s">
        <v>52</v>
      </c>
      <c r="O94" s="37">
        <f>Tbl_PctTrabajoPlanificado[[#This Row],[Fecha inicio real]]-Tbl_PctTrabajoPlanificado[[#This Row],[Fecha Libera Orden]]</f>
        <v>14</v>
      </c>
      <c r="P94" s="3">
        <v>46142</v>
      </c>
      <c r="Q94" s="3">
        <v>46156</v>
      </c>
      <c r="R94" s="1" t="s">
        <v>273</v>
      </c>
      <c r="S94" s="9">
        <v>100</v>
      </c>
      <c r="T94" s="7">
        <v>10.5</v>
      </c>
      <c r="U94" s="7">
        <v>10.5</v>
      </c>
      <c r="V94" t="s">
        <v>464</v>
      </c>
    </row>
    <row r="95" spans="1:22" ht="15.75" thickBot="1" x14ac:dyDescent="0.3">
      <c r="A95" s="18" t="s">
        <v>155</v>
      </c>
      <c r="B95" s="1" t="s">
        <v>14</v>
      </c>
      <c r="C95" s="1" t="s">
        <v>47</v>
      </c>
      <c r="D95" s="1" t="s">
        <v>48</v>
      </c>
      <c r="E95" s="1" t="s">
        <v>56</v>
      </c>
      <c r="F95" s="1" t="s">
        <v>450</v>
      </c>
      <c r="G95" s="1" t="s">
        <v>54</v>
      </c>
      <c r="H95" s="1" t="s">
        <v>53</v>
      </c>
      <c r="I95" s="37" t="str">
        <f>VLOOKUP(Tbl_PctTrabajoPlanificado[[#This Row],[Orden mantenimiento]],Data!$E$2:$G$101,2,FALSE)</f>
        <v>C81</v>
      </c>
      <c r="J95" s="37" t="str" cm="1">
        <f t="array" ref="J95">_xlfn.IFS(I95="C81","Pl.Termoelec.Chuq.",I95="C82","Pl.Dist.Energ.Elec",I95="C89","Pl.Mant.Ind.Electr",I95="CO0","Concentradora A0",I95="CO1","Concentradora A1",I95="CO2","Concentradora A2",I95="CB1","SAE Centralizado",I95="C71","Pl.Maestranza.Cent",I95="C72","Pl.Calderería.Cent",I95="C74","CONTRATOS METALMEC",I95="C40","Planif. Refinería",I95="SAPCI","SAPCI",TRUE,"Código no encontrado")</f>
        <v>Pl.Termoelec.Chuq.</v>
      </c>
      <c r="K95" s="1" t="s">
        <v>306</v>
      </c>
      <c r="L95" s="1" t="s">
        <v>307</v>
      </c>
      <c r="M95" s="1" t="s">
        <v>249</v>
      </c>
      <c r="N95" s="1" t="s">
        <v>52</v>
      </c>
      <c r="O95" s="37">
        <f>Tbl_PctTrabajoPlanificado[[#This Row],[Fecha inicio real]]-Tbl_PctTrabajoPlanificado[[#This Row],[Fecha Libera Orden]]</f>
        <v>15</v>
      </c>
      <c r="P95" s="3">
        <v>46142</v>
      </c>
      <c r="Q95" s="3">
        <v>46157</v>
      </c>
      <c r="R95" s="1" t="s">
        <v>273</v>
      </c>
      <c r="S95" s="10">
        <v>100</v>
      </c>
      <c r="T95" s="11">
        <v>45</v>
      </c>
      <c r="U95" s="11">
        <v>45</v>
      </c>
      <c r="V95" t="s">
        <v>464</v>
      </c>
    </row>
    <row r="96" spans="1:22" ht="15.75" thickBot="1" x14ac:dyDescent="0.3">
      <c r="A96" s="18" t="s">
        <v>155</v>
      </c>
      <c r="B96" s="1" t="s">
        <v>14</v>
      </c>
      <c r="C96" s="1" t="s">
        <v>47</v>
      </c>
      <c r="D96" s="1" t="s">
        <v>48</v>
      </c>
      <c r="E96" s="1" t="s">
        <v>56</v>
      </c>
      <c r="F96" s="1" t="s">
        <v>450</v>
      </c>
      <c r="G96" s="1" t="s">
        <v>54</v>
      </c>
      <c r="H96" s="1" t="s">
        <v>53</v>
      </c>
      <c r="I96" s="37" t="str">
        <f>VLOOKUP(Tbl_PctTrabajoPlanificado[[#This Row],[Orden mantenimiento]],Data!$E$2:$G$101,2,FALSE)</f>
        <v>C81</v>
      </c>
      <c r="J96" s="37" t="str" cm="1">
        <f t="array" ref="J96">_xlfn.IFS(I96="C81","Pl.Termoelec.Chuq.",I96="C82","Pl.Dist.Energ.Elec",I96="C89","Pl.Mant.Ind.Electr",I96="CO0","Concentradora A0",I96="CO1","Concentradora A1",I96="CO2","Concentradora A2",I96="CB1","SAE Centralizado",I96="C71","Pl.Maestranza.Cent",I96="C72","Pl.Calderería.Cent",I96="C74","CONTRATOS METALMEC",I96="C40","Planif. Refinería",I96="SAPCI","SAPCI",TRUE,"Código no encontrado")</f>
        <v>Pl.Termoelec.Chuq.</v>
      </c>
      <c r="K96" s="1" t="s">
        <v>306</v>
      </c>
      <c r="L96" s="1" t="s">
        <v>307</v>
      </c>
      <c r="M96" s="1" t="s">
        <v>249</v>
      </c>
      <c r="N96" s="1" t="s">
        <v>52</v>
      </c>
      <c r="O96" s="37">
        <f>Tbl_PctTrabajoPlanificado[[#This Row],[Fecha inicio real]]-Tbl_PctTrabajoPlanificado[[#This Row],[Fecha Libera Orden]]</f>
        <v>16</v>
      </c>
      <c r="P96" s="3">
        <v>46142</v>
      </c>
      <c r="Q96" s="3">
        <v>46158</v>
      </c>
      <c r="R96" s="1" t="s">
        <v>273</v>
      </c>
      <c r="S96" s="9">
        <v>100</v>
      </c>
      <c r="T96" s="7">
        <v>8.3000000000000007</v>
      </c>
      <c r="U96" s="7">
        <v>8.3000000000000007</v>
      </c>
      <c r="V96" t="s">
        <v>464</v>
      </c>
    </row>
    <row r="97" spans="1:22" ht="15.75" thickBot="1" x14ac:dyDescent="0.3">
      <c r="A97" s="18" t="s">
        <v>155</v>
      </c>
      <c r="B97" s="1" t="s">
        <v>14</v>
      </c>
      <c r="C97" s="1" t="s">
        <v>47</v>
      </c>
      <c r="D97" s="1" t="s">
        <v>48</v>
      </c>
      <c r="E97" s="1" t="s">
        <v>56</v>
      </c>
      <c r="F97" s="1" t="s">
        <v>450</v>
      </c>
      <c r="G97" s="1" t="s">
        <v>54</v>
      </c>
      <c r="H97" s="1" t="s">
        <v>53</v>
      </c>
      <c r="I97" s="37" t="str">
        <f>VLOOKUP(Tbl_PctTrabajoPlanificado[[#This Row],[Orden mantenimiento]],Data!$E$2:$G$101,2,FALSE)</f>
        <v>C81</v>
      </c>
      <c r="J97" s="37" t="str" cm="1">
        <f t="array" ref="J97">_xlfn.IFS(I97="C81","Pl.Termoelec.Chuq.",I97="C82","Pl.Dist.Energ.Elec",I97="C89","Pl.Mant.Ind.Electr",I97="CO0","Concentradora A0",I97="CO1","Concentradora A1",I97="CO2","Concentradora A2",I97="CB1","SAE Centralizado",I97="C71","Pl.Maestranza.Cent",I97="C72","Pl.Calderería.Cent",I97="C74","CONTRATOS METALMEC",I97="C40","Planif. Refinería",I97="SAPCI","SAPCI",TRUE,"Código no encontrado")</f>
        <v>Pl.Termoelec.Chuq.</v>
      </c>
      <c r="K97" s="1" t="s">
        <v>308</v>
      </c>
      <c r="L97" s="1" t="s">
        <v>309</v>
      </c>
      <c r="M97" s="1" t="s">
        <v>249</v>
      </c>
      <c r="N97" s="1" t="s">
        <v>52</v>
      </c>
      <c r="O97" s="37">
        <f>Tbl_PctTrabajoPlanificado[[#This Row],[Fecha inicio real]]-Tbl_PctTrabajoPlanificado[[#This Row],[Fecha Libera Orden]]</f>
        <v>9</v>
      </c>
      <c r="P97" s="3">
        <v>46145</v>
      </c>
      <c r="Q97" s="3">
        <v>46154</v>
      </c>
      <c r="R97" s="1" t="s">
        <v>273</v>
      </c>
      <c r="S97" s="10">
        <v>100</v>
      </c>
      <c r="T97" s="11">
        <v>42</v>
      </c>
      <c r="U97" s="11">
        <v>42</v>
      </c>
      <c r="V97" t="s">
        <v>464</v>
      </c>
    </row>
    <row r="98" spans="1:22" ht="15.75" thickBot="1" x14ac:dyDescent="0.3">
      <c r="A98" s="18" t="s">
        <v>155</v>
      </c>
      <c r="B98" s="1" t="s">
        <v>14</v>
      </c>
      <c r="C98" s="1" t="s">
        <v>47</v>
      </c>
      <c r="D98" s="1" t="s">
        <v>48</v>
      </c>
      <c r="E98" s="1" t="s">
        <v>56</v>
      </c>
      <c r="F98" s="1" t="s">
        <v>450</v>
      </c>
      <c r="G98" s="1" t="s">
        <v>54</v>
      </c>
      <c r="H98" s="1" t="s">
        <v>53</v>
      </c>
      <c r="I98" s="37" t="str">
        <f>VLOOKUP(Tbl_PctTrabajoPlanificado[[#This Row],[Orden mantenimiento]],Data!$E$2:$G$101,2,FALSE)</f>
        <v>C81</v>
      </c>
      <c r="J98" s="37" t="str" cm="1">
        <f t="array" ref="J98">_xlfn.IFS(I98="C81","Pl.Termoelec.Chuq.",I98="C82","Pl.Dist.Energ.Elec",I98="C89","Pl.Mant.Ind.Electr",I98="CO0","Concentradora A0",I98="CO1","Concentradora A1",I98="CO2","Concentradora A2",I98="CB1","SAE Centralizado",I98="C71","Pl.Maestranza.Cent",I98="C72","Pl.Calderería.Cent",I98="C74","CONTRATOS METALMEC",I98="C40","Planif. Refinería",I98="SAPCI","SAPCI",TRUE,"Código no encontrado")</f>
        <v>Pl.Termoelec.Chuq.</v>
      </c>
      <c r="K98" s="1" t="s">
        <v>308</v>
      </c>
      <c r="L98" s="1" t="s">
        <v>309</v>
      </c>
      <c r="M98" s="1" t="s">
        <v>249</v>
      </c>
      <c r="N98" s="1" t="s">
        <v>52</v>
      </c>
      <c r="O98" s="37">
        <f>Tbl_PctTrabajoPlanificado[[#This Row],[Fecha inicio real]]-Tbl_PctTrabajoPlanificado[[#This Row],[Fecha Libera Orden]]</f>
        <v>10</v>
      </c>
      <c r="P98" s="3">
        <v>46145</v>
      </c>
      <c r="Q98" s="3">
        <v>46155</v>
      </c>
      <c r="R98" s="1" t="s">
        <v>273</v>
      </c>
      <c r="S98" s="9">
        <v>100</v>
      </c>
      <c r="T98" s="7">
        <v>24</v>
      </c>
      <c r="U98" s="7">
        <v>24</v>
      </c>
      <c r="V98" t="s">
        <v>464</v>
      </c>
    </row>
    <row r="99" spans="1:22" ht="15.75" thickBot="1" x14ac:dyDescent="0.3">
      <c r="A99" s="18" t="s">
        <v>155</v>
      </c>
      <c r="B99" s="1" t="s">
        <v>14</v>
      </c>
      <c r="C99" s="1" t="s">
        <v>47</v>
      </c>
      <c r="D99" s="1" t="s">
        <v>48</v>
      </c>
      <c r="E99" s="1" t="s">
        <v>56</v>
      </c>
      <c r="F99" s="1" t="s">
        <v>450</v>
      </c>
      <c r="G99" s="1" t="s">
        <v>54</v>
      </c>
      <c r="H99" s="1" t="s">
        <v>53</v>
      </c>
      <c r="I99" s="37" t="str">
        <f>VLOOKUP(Tbl_PctTrabajoPlanificado[[#This Row],[Orden mantenimiento]],Data!$E$2:$G$101,2,FALSE)</f>
        <v>C81</v>
      </c>
      <c r="J99" s="37" t="str" cm="1">
        <f t="array" ref="J99">_xlfn.IFS(I99="C81","Pl.Termoelec.Chuq.",I99="C82","Pl.Dist.Energ.Elec",I99="C89","Pl.Mant.Ind.Electr",I99="CO0","Concentradora A0",I99="CO1","Concentradora A1",I99="CO2","Concentradora A2",I99="CB1","SAE Centralizado",I99="C71","Pl.Maestranza.Cent",I99="C72","Pl.Calderería.Cent",I99="C74","CONTRATOS METALMEC",I99="C40","Planif. Refinería",I99="SAPCI","SAPCI",TRUE,"Código no encontrado")</f>
        <v>Pl.Termoelec.Chuq.</v>
      </c>
      <c r="K99" s="1" t="s">
        <v>310</v>
      </c>
      <c r="L99" s="1" t="s">
        <v>311</v>
      </c>
      <c r="M99" s="1" t="s">
        <v>249</v>
      </c>
      <c r="N99" s="1" t="s">
        <v>52</v>
      </c>
      <c r="O99" s="37">
        <f>Tbl_PctTrabajoPlanificado[[#This Row],[Fecha inicio real]]-Tbl_PctTrabajoPlanificado[[#This Row],[Fecha Libera Orden]]</f>
        <v>8</v>
      </c>
      <c r="P99" s="3">
        <v>46145</v>
      </c>
      <c r="Q99" s="3">
        <v>46153</v>
      </c>
      <c r="R99" s="1" t="s">
        <v>273</v>
      </c>
      <c r="S99" s="10">
        <v>100</v>
      </c>
      <c r="T99" s="11">
        <v>9.5</v>
      </c>
      <c r="U99" s="11">
        <v>9.5</v>
      </c>
      <c r="V99" t="s">
        <v>464</v>
      </c>
    </row>
    <row r="100" spans="1:22" ht="15.75" thickBot="1" x14ac:dyDescent="0.3">
      <c r="A100" s="18" t="s">
        <v>155</v>
      </c>
      <c r="B100" s="1" t="s">
        <v>14</v>
      </c>
      <c r="C100" s="1" t="s">
        <v>47</v>
      </c>
      <c r="D100" s="1" t="s">
        <v>48</v>
      </c>
      <c r="E100" s="1" t="s">
        <v>56</v>
      </c>
      <c r="F100" s="1" t="s">
        <v>450</v>
      </c>
      <c r="G100" s="1" t="s">
        <v>54</v>
      </c>
      <c r="H100" s="1" t="s">
        <v>53</v>
      </c>
      <c r="I100" s="37" t="str">
        <f>VLOOKUP(Tbl_PctTrabajoPlanificado[[#This Row],[Orden mantenimiento]],Data!$E$2:$G$101,2,FALSE)</f>
        <v>C81</v>
      </c>
      <c r="J100" s="37" t="str" cm="1">
        <f t="array" ref="J100">_xlfn.IFS(I100="C81","Pl.Termoelec.Chuq.",I100="C82","Pl.Dist.Energ.Elec",I100="C89","Pl.Mant.Ind.Electr",I100="CO0","Concentradora A0",I100="CO1","Concentradora A1",I100="CO2","Concentradora A2",I100="CB1","SAE Centralizado",I100="C71","Pl.Maestranza.Cent",I100="C72","Pl.Calderería.Cent",I100="C74","CONTRATOS METALMEC",I100="C40","Planif. Refinería",I100="SAPCI","SAPCI",TRUE,"Código no encontrado")</f>
        <v>Pl.Termoelec.Chuq.</v>
      </c>
      <c r="K100" s="1" t="s">
        <v>310</v>
      </c>
      <c r="L100" s="1" t="s">
        <v>311</v>
      </c>
      <c r="M100" s="1" t="s">
        <v>249</v>
      </c>
      <c r="N100" s="1" t="s">
        <v>52</v>
      </c>
      <c r="O100" s="37">
        <f>Tbl_PctTrabajoPlanificado[[#This Row],[Fecha inicio real]]-Tbl_PctTrabajoPlanificado[[#This Row],[Fecha Libera Orden]]</f>
        <v>9</v>
      </c>
      <c r="P100" s="3">
        <v>46145</v>
      </c>
      <c r="Q100" s="3">
        <v>46154</v>
      </c>
      <c r="R100" s="1" t="s">
        <v>273</v>
      </c>
      <c r="S100" s="9">
        <v>100</v>
      </c>
      <c r="T100" s="7">
        <v>9</v>
      </c>
      <c r="U100" s="7">
        <v>9</v>
      </c>
      <c r="V100" t="s">
        <v>464</v>
      </c>
    </row>
    <row r="101" spans="1:22" ht="15.75" thickBot="1" x14ac:dyDescent="0.3">
      <c r="A101" s="18" t="s">
        <v>155</v>
      </c>
      <c r="B101" s="1" t="s">
        <v>14</v>
      </c>
      <c r="C101" s="1" t="s">
        <v>47</v>
      </c>
      <c r="D101" s="1" t="s">
        <v>48</v>
      </c>
      <c r="E101" s="1" t="s">
        <v>56</v>
      </c>
      <c r="F101" s="1" t="s">
        <v>450</v>
      </c>
      <c r="G101" s="1" t="s">
        <v>106</v>
      </c>
      <c r="H101" s="1" t="s">
        <v>105</v>
      </c>
      <c r="I101" s="37" t="str">
        <f>VLOOKUP(Tbl_PctTrabajoPlanificado[[#This Row],[Orden mantenimiento]],Data!$E$2:$G$101,2,FALSE)</f>
        <v>C81</v>
      </c>
      <c r="J101" s="37" t="str" cm="1">
        <f t="array" ref="J101">_xlfn.IFS(I101="C81","Pl.Termoelec.Chuq.",I101="C82","Pl.Dist.Energ.Elec",I101="C89","Pl.Mant.Ind.Electr",I101="CO0","Concentradora A0",I101="CO1","Concentradora A1",I101="CO2","Concentradora A2",I101="CB1","SAE Centralizado",I101="C71","Pl.Maestranza.Cent",I101="C72","Pl.Calderería.Cent",I101="C74","CONTRATOS METALMEC",I101="C40","Planif. Refinería",I101="SAPCI","SAPCI",TRUE,"Código no encontrado")</f>
        <v>Pl.Termoelec.Chuq.</v>
      </c>
      <c r="K101" s="1" t="s">
        <v>312</v>
      </c>
      <c r="L101" s="1" t="s">
        <v>313</v>
      </c>
      <c r="M101" s="1" t="s">
        <v>164</v>
      </c>
      <c r="N101" s="1" t="s">
        <v>104</v>
      </c>
      <c r="O101" s="37">
        <f>Tbl_PctTrabajoPlanificado[[#This Row],[Fecha inicio real]]-Tbl_PctTrabajoPlanificado[[#This Row],[Fecha Libera Orden]]</f>
        <v>84</v>
      </c>
      <c r="P101" s="3">
        <v>46070</v>
      </c>
      <c r="Q101" s="3">
        <v>46154</v>
      </c>
      <c r="R101" s="1" t="s">
        <v>23</v>
      </c>
      <c r="S101" s="10">
        <v>0</v>
      </c>
      <c r="T101" s="11">
        <v>0</v>
      </c>
      <c r="U101" s="11">
        <v>2</v>
      </c>
      <c r="V101" t="s">
        <v>463</v>
      </c>
    </row>
    <row r="102" spans="1:22" ht="15.75" thickBot="1" x14ac:dyDescent="0.3">
      <c r="A102" s="18" t="s">
        <v>155</v>
      </c>
      <c r="B102" s="1" t="s">
        <v>14</v>
      </c>
      <c r="C102" s="1" t="s">
        <v>47</v>
      </c>
      <c r="D102" s="1" t="s">
        <v>48</v>
      </c>
      <c r="E102" s="1" t="s">
        <v>56</v>
      </c>
      <c r="F102" s="1" t="s">
        <v>450</v>
      </c>
      <c r="G102" s="1" t="s">
        <v>106</v>
      </c>
      <c r="H102" s="1" t="s">
        <v>105</v>
      </c>
      <c r="I102" s="37" t="str">
        <f>VLOOKUP(Tbl_PctTrabajoPlanificado[[#This Row],[Orden mantenimiento]],Data!$E$2:$G$101,2,FALSE)</f>
        <v>C81</v>
      </c>
      <c r="J102" s="37" t="str" cm="1">
        <f t="array" ref="J102">_xlfn.IFS(I102="C81","Pl.Termoelec.Chuq.",I102="C82","Pl.Dist.Energ.Elec",I102="C89","Pl.Mant.Ind.Electr",I102="CO0","Concentradora A0",I102="CO1","Concentradora A1",I102="CO2","Concentradora A2",I102="CB1","SAE Centralizado",I102="C71","Pl.Maestranza.Cent",I102="C72","Pl.Calderería.Cent",I102="C74","CONTRATOS METALMEC",I102="C40","Planif. Refinería",I102="SAPCI","SAPCI",TRUE,"Código no encontrado")</f>
        <v>Pl.Termoelec.Chuq.</v>
      </c>
      <c r="K102" s="1" t="s">
        <v>314</v>
      </c>
      <c r="L102" s="1" t="s">
        <v>315</v>
      </c>
      <c r="M102" s="1" t="s">
        <v>186</v>
      </c>
      <c r="N102" s="1" t="s">
        <v>104</v>
      </c>
      <c r="O102" s="37">
        <f>Tbl_PctTrabajoPlanificado[[#This Row],[Fecha inicio real]]-Tbl_PctTrabajoPlanificado[[#This Row],[Fecha Libera Orden]]</f>
        <v>48</v>
      </c>
      <c r="P102" s="3">
        <v>46108</v>
      </c>
      <c r="Q102" s="3">
        <v>46156</v>
      </c>
      <c r="R102" s="1" t="s">
        <v>23</v>
      </c>
      <c r="S102" s="6"/>
      <c r="T102" s="6"/>
      <c r="U102" s="7">
        <v>2</v>
      </c>
      <c r="V102" t="s">
        <v>463</v>
      </c>
    </row>
    <row r="103" spans="1:22" ht="15.75" thickBot="1" x14ac:dyDescent="0.3">
      <c r="A103" s="18" t="s">
        <v>155</v>
      </c>
      <c r="B103" s="1" t="s">
        <v>14</v>
      </c>
      <c r="C103" s="1" t="s">
        <v>47</v>
      </c>
      <c r="D103" s="1" t="s">
        <v>48</v>
      </c>
      <c r="E103" s="1" t="s">
        <v>56</v>
      </c>
      <c r="F103" s="1" t="s">
        <v>450</v>
      </c>
      <c r="G103" s="1" t="s">
        <v>106</v>
      </c>
      <c r="H103" s="1" t="s">
        <v>105</v>
      </c>
      <c r="I103" s="37" t="str">
        <f>VLOOKUP(Tbl_PctTrabajoPlanificado[[#This Row],[Orden mantenimiento]],Data!$E$2:$G$101,2,FALSE)</f>
        <v>C81</v>
      </c>
      <c r="J103" s="37" t="str" cm="1">
        <f t="array" ref="J103">_xlfn.IFS(I103="C81","Pl.Termoelec.Chuq.",I103="C82","Pl.Dist.Energ.Elec",I103="C89","Pl.Mant.Ind.Electr",I103="CO0","Concentradora A0",I103="CO1","Concentradora A1",I103="CO2","Concentradora A2",I103="CB1","SAE Centralizado",I103="C71","Pl.Maestranza.Cent",I103="C72","Pl.Calderería.Cent",I103="C74","CONTRATOS METALMEC",I103="C40","Planif. Refinería",I103="SAPCI","SAPCI",TRUE,"Código no encontrado")</f>
        <v>Pl.Termoelec.Chuq.</v>
      </c>
      <c r="K103" s="1" t="s">
        <v>316</v>
      </c>
      <c r="L103" s="1" t="s">
        <v>317</v>
      </c>
      <c r="M103" s="1" t="s">
        <v>161</v>
      </c>
      <c r="N103" s="1" t="s">
        <v>104</v>
      </c>
      <c r="O103" s="37">
        <f>Tbl_PctTrabajoPlanificado[[#This Row],[Fecha inicio real]]-Tbl_PctTrabajoPlanificado[[#This Row],[Fecha Libera Orden]]</f>
        <v>3</v>
      </c>
      <c r="P103" s="3">
        <v>46151</v>
      </c>
      <c r="Q103" s="3">
        <v>46154</v>
      </c>
      <c r="R103" s="1" t="s">
        <v>23</v>
      </c>
      <c r="S103" s="12"/>
      <c r="T103" s="12"/>
      <c r="U103" s="11">
        <v>3</v>
      </c>
      <c r="V103" t="s">
        <v>463</v>
      </c>
    </row>
    <row r="104" spans="1:22" ht="15.75" thickBot="1" x14ac:dyDescent="0.3">
      <c r="A104" s="18" t="s">
        <v>155</v>
      </c>
      <c r="B104" s="1" t="s">
        <v>14</v>
      </c>
      <c r="C104" s="1" t="s">
        <v>47</v>
      </c>
      <c r="D104" s="1" t="s">
        <v>48</v>
      </c>
      <c r="E104" s="1" t="s">
        <v>56</v>
      </c>
      <c r="F104" s="1" t="s">
        <v>450</v>
      </c>
      <c r="G104" s="1" t="s">
        <v>106</v>
      </c>
      <c r="H104" s="1" t="s">
        <v>105</v>
      </c>
      <c r="I104" s="37" t="str">
        <f>VLOOKUP(Tbl_PctTrabajoPlanificado[[#This Row],[Orden mantenimiento]],Data!$E$2:$G$101,2,FALSE)</f>
        <v>C81</v>
      </c>
      <c r="J104" s="37" t="str" cm="1">
        <f t="array" ref="J104">_xlfn.IFS(I104="C81","Pl.Termoelec.Chuq.",I104="C82","Pl.Dist.Energ.Elec",I104="C89","Pl.Mant.Ind.Electr",I104="CO0","Concentradora A0",I104="CO1","Concentradora A1",I104="CO2","Concentradora A2",I104="CB1","SAE Centralizado",I104="C71","Pl.Maestranza.Cent",I104="C72","Pl.Calderería.Cent",I104="C74","CONTRATOS METALMEC",I104="C40","Planif. Refinería",I104="SAPCI","SAPCI",TRUE,"Código no encontrado")</f>
        <v>Pl.Termoelec.Chuq.</v>
      </c>
      <c r="K104" s="1" t="s">
        <v>318</v>
      </c>
      <c r="L104" s="1" t="s">
        <v>319</v>
      </c>
      <c r="M104" s="1" t="s">
        <v>320</v>
      </c>
      <c r="N104" s="1" t="s">
        <v>104</v>
      </c>
      <c r="O104" s="37">
        <f>Tbl_PctTrabajoPlanificado[[#This Row],[Fecha inicio real]]-Tbl_PctTrabajoPlanificado[[#This Row],[Fecha Libera Orden]]</f>
        <v>5</v>
      </c>
      <c r="P104" s="3">
        <v>46149</v>
      </c>
      <c r="Q104" s="3">
        <v>46154</v>
      </c>
      <c r="R104" s="1" t="s">
        <v>23</v>
      </c>
      <c r="S104" s="6"/>
      <c r="T104" s="6"/>
      <c r="U104" s="7">
        <v>2</v>
      </c>
      <c r="V104" t="s">
        <v>463</v>
      </c>
    </row>
    <row r="105" spans="1:22" ht="15.75" thickBot="1" x14ac:dyDescent="0.3">
      <c r="A105" s="18" t="s">
        <v>155</v>
      </c>
      <c r="B105" s="1" t="s">
        <v>14</v>
      </c>
      <c r="C105" s="1" t="s">
        <v>47</v>
      </c>
      <c r="D105" s="1" t="s">
        <v>48</v>
      </c>
      <c r="E105" s="1" t="s">
        <v>56</v>
      </c>
      <c r="F105" s="1" t="s">
        <v>450</v>
      </c>
      <c r="G105" s="1" t="s">
        <v>106</v>
      </c>
      <c r="H105" s="1" t="s">
        <v>105</v>
      </c>
      <c r="I105" s="37" t="str">
        <f>VLOOKUP(Tbl_PctTrabajoPlanificado[[#This Row],[Orden mantenimiento]],Data!$E$2:$G$101,2,FALSE)</f>
        <v>C81</v>
      </c>
      <c r="J105" s="37" t="str" cm="1">
        <f t="array" ref="J105">_xlfn.IFS(I105="C81","Pl.Termoelec.Chuq.",I105="C82","Pl.Dist.Energ.Elec",I105="C89","Pl.Mant.Ind.Electr",I105="CO0","Concentradora A0",I105="CO1","Concentradora A1",I105="CO2","Concentradora A2",I105="CB1","SAE Centralizado",I105="C71","Pl.Maestranza.Cent",I105="C72","Pl.Calderería.Cent",I105="C74","CONTRATOS METALMEC",I105="C40","Planif. Refinería",I105="SAPCI","SAPCI",TRUE,"Código no encontrado")</f>
        <v>Pl.Termoelec.Chuq.</v>
      </c>
      <c r="K105" s="1" t="s">
        <v>318</v>
      </c>
      <c r="L105" s="1" t="s">
        <v>319</v>
      </c>
      <c r="M105" s="1" t="s">
        <v>186</v>
      </c>
      <c r="N105" s="1" t="s">
        <v>104</v>
      </c>
      <c r="O105" s="37">
        <f>Tbl_PctTrabajoPlanificado[[#This Row],[Fecha inicio real]]-Tbl_PctTrabajoPlanificado[[#This Row],[Fecha Libera Orden]]</f>
        <v>5</v>
      </c>
      <c r="P105" s="3">
        <v>46149</v>
      </c>
      <c r="Q105" s="3">
        <v>46154</v>
      </c>
      <c r="R105" s="1" t="s">
        <v>23</v>
      </c>
      <c r="S105" s="12"/>
      <c r="T105" s="12"/>
      <c r="U105" s="11">
        <v>1</v>
      </c>
      <c r="V105" t="s">
        <v>463</v>
      </c>
    </row>
    <row r="106" spans="1:22" ht="15.75" thickBot="1" x14ac:dyDescent="0.3">
      <c r="A106" s="18" t="s">
        <v>155</v>
      </c>
      <c r="B106" s="1" t="s">
        <v>14</v>
      </c>
      <c r="C106" s="1" t="s">
        <v>47</v>
      </c>
      <c r="D106" s="1" t="s">
        <v>48</v>
      </c>
      <c r="E106" s="1" t="s">
        <v>56</v>
      </c>
      <c r="F106" s="1" t="s">
        <v>450</v>
      </c>
      <c r="G106" s="1" t="s">
        <v>106</v>
      </c>
      <c r="H106" s="1" t="s">
        <v>105</v>
      </c>
      <c r="I106" s="37" t="str">
        <f>VLOOKUP(Tbl_PctTrabajoPlanificado[[#This Row],[Orden mantenimiento]],Data!$E$2:$G$101,2,FALSE)</f>
        <v>C81</v>
      </c>
      <c r="J106" s="37" t="str" cm="1">
        <f t="array" ref="J106">_xlfn.IFS(I106="C81","Pl.Termoelec.Chuq.",I106="C82","Pl.Dist.Energ.Elec",I106="C89","Pl.Mant.Ind.Electr",I106="CO0","Concentradora A0",I106="CO1","Concentradora A1",I106="CO2","Concentradora A2",I106="CB1","SAE Centralizado",I106="C71","Pl.Maestranza.Cent",I106="C72","Pl.Calderería.Cent",I106="C74","CONTRATOS METALMEC",I106="C40","Planif. Refinería",I106="SAPCI","SAPCI",TRUE,"Código no encontrado")</f>
        <v>Pl.Termoelec.Chuq.</v>
      </c>
      <c r="K106" s="1" t="s">
        <v>321</v>
      </c>
      <c r="L106" s="1" t="s">
        <v>322</v>
      </c>
      <c r="M106" s="1" t="s">
        <v>320</v>
      </c>
      <c r="N106" s="1" t="s">
        <v>104</v>
      </c>
      <c r="O106" s="37">
        <f>Tbl_PctTrabajoPlanificado[[#This Row],[Fecha inicio real]]-Tbl_PctTrabajoPlanificado[[#This Row],[Fecha Libera Orden]]</f>
        <v>1</v>
      </c>
      <c r="P106" s="3">
        <v>46153</v>
      </c>
      <c r="Q106" s="3">
        <v>46154</v>
      </c>
      <c r="R106" s="1" t="s">
        <v>23</v>
      </c>
      <c r="S106" s="6"/>
      <c r="T106" s="6"/>
      <c r="U106" s="7">
        <v>2</v>
      </c>
      <c r="V106" t="s">
        <v>463</v>
      </c>
    </row>
    <row r="107" spans="1:22" ht="15.75" thickBot="1" x14ac:dyDescent="0.3">
      <c r="A107" s="18" t="s">
        <v>155</v>
      </c>
      <c r="B107" s="1" t="s">
        <v>14</v>
      </c>
      <c r="C107" s="1" t="s">
        <v>47</v>
      </c>
      <c r="D107" s="1" t="s">
        <v>48</v>
      </c>
      <c r="E107" s="1" t="s">
        <v>56</v>
      </c>
      <c r="F107" s="1" t="s">
        <v>450</v>
      </c>
      <c r="G107" s="1" t="s">
        <v>106</v>
      </c>
      <c r="H107" s="1" t="s">
        <v>105</v>
      </c>
      <c r="I107" s="37" t="str">
        <f>VLOOKUP(Tbl_PctTrabajoPlanificado[[#This Row],[Orden mantenimiento]],Data!$E$2:$G$101,2,FALSE)</f>
        <v>C81</v>
      </c>
      <c r="J107" s="37" t="str" cm="1">
        <f t="array" ref="J107">_xlfn.IFS(I107="C81","Pl.Termoelec.Chuq.",I107="C82","Pl.Dist.Energ.Elec",I107="C89","Pl.Mant.Ind.Electr",I107="CO0","Concentradora A0",I107="CO1","Concentradora A1",I107="CO2","Concentradora A2",I107="CB1","SAE Centralizado",I107="C71","Pl.Maestranza.Cent",I107="C72","Pl.Calderería.Cent",I107="C74","CONTRATOS METALMEC",I107="C40","Planif. Refinería",I107="SAPCI","SAPCI",TRUE,"Código no encontrado")</f>
        <v>Pl.Termoelec.Chuq.</v>
      </c>
      <c r="K107" s="1" t="s">
        <v>323</v>
      </c>
      <c r="L107" s="1" t="s">
        <v>324</v>
      </c>
      <c r="M107" s="1" t="s">
        <v>186</v>
      </c>
      <c r="N107" s="1" t="s">
        <v>104</v>
      </c>
      <c r="O107" s="37">
        <f>Tbl_PctTrabajoPlanificado[[#This Row],[Fecha inicio real]]-Tbl_PctTrabajoPlanificado[[#This Row],[Fecha Libera Orden]]</f>
        <v>0</v>
      </c>
      <c r="P107" s="3">
        <v>46153</v>
      </c>
      <c r="Q107" s="3">
        <v>46153</v>
      </c>
      <c r="R107" s="1" t="s">
        <v>23</v>
      </c>
      <c r="S107" s="12"/>
      <c r="T107" s="12"/>
      <c r="U107" s="11">
        <v>3</v>
      </c>
      <c r="V107" t="s">
        <v>463</v>
      </c>
    </row>
    <row r="108" spans="1:22" ht="15.75" thickBot="1" x14ac:dyDescent="0.3">
      <c r="A108" s="18" t="s">
        <v>155</v>
      </c>
      <c r="B108" s="1" t="s">
        <v>14</v>
      </c>
      <c r="C108" s="1" t="s">
        <v>47</v>
      </c>
      <c r="D108" s="1" t="s">
        <v>48</v>
      </c>
      <c r="E108" s="1" t="s">
        <v>56</v>
      </c>
      <c r="F108" s="1" t="s">
        <v>450</v>
      </c>
      <c r="G108" s="1" t="s">
        <v>106</v>
      </c>
      <c r="H108" s="1" t="s">
        <v>105</v>
      </c>
      <c r="I108" s="37" t="str">
        <f>VLOOKUP(Tbl_PctTrabajoPlanificado[[#This Row],[Orden mantenimiento]],Data!$E$2:$G$101,2,FALSE)</f>
        <v>C81</v>
      </c>
      <c r="J108" s="37" t="str" cm="1">
        <f t="array" ref="J108">_xlfn.IFS(I108="C81","Pl.Termoelec.Chuq.",I108="C82","Pl.Dist.Energ.Elec",I108="C89","Pl.Mant.Ind.Electr",I108="CO0","Concentradora A0",I108="CO1","Concentradora A1",I108="CO2","Concentradora A2",I108="CB1","SAE Centralizado",I108="C71","Pl.Maestranza.Cent",I108="C72","Pl.Calderería.Cent",I108="C74","CONTRATOS METALMEC",I108="C40","Planif. Refinería",I108="SAPCI","SAPCI",TRUE,"Código no encontrado")</f>
        <v>Pl.Termoelec.Chuq.</v>
      </c>
      <c r="K108" s="1" t="s">
        <v>325</v>
      </c>
      <c r="L108" s="1" t="s">
        <v>326</v>
      </c>
      <c r="M108" s="1" t="s">
        <v>186</v>
      </c>
      <c r="N108" s="1" t="s">
        <v>104</v>
      </c>
      <c r="O108" s="37">
        <f>Tbl_PctTrabajoPlanificado[[#This Row],[Fecha inicio real]]-Tbl_PctTrabajoPlanificado[[#This Row],[Fecha Libera Orden]]</f>
        <v>-1</v>
      </c>
      <c r="P108" s="3">
        <v>46154</v>
      </c>
      <c r="Q108" s="3">
        <v>46153</v>
      </c>
      <c r="R108" s="1" t="s">
        <v>23</v>
      </c>
      <c r="S108" s="6"/>
      <c r="T108" s="6"/>
      <c r="U108" s="7">
        <v>2</v>
      </c>
      <c r="V108" t="s">
        <v>463</v>
      </c>
    </row>
    <row r="109" spans="1:22" ht="15.75" thickBot="1" x14ac:dyDescent="0.3">
      <c r="A109" s="18" t="s">
        <v>155</v>
      </c>
      <c r="B109" s="1" t="s">
        <v>14</v>
      </c>
      <c r="C109" s="1" t="s">
        <v>47</v>
      </c>
      <c r="D109" s="1" t="s">
        <v>48</v>
      </c>
      <c r="E109" s="1" t="s">
        <v>56</v>
      </c>
      <c r="F109" s="1" t="s">
        <v>450</v>
      </c>
      <c r="G109" s="1" t="s">
        <v>106</v>
      </c>
      <c r="H109" s="1" t="s">
        <v>105</v>
      </c>
      <c r="I109" s="37" t="str">
        <f>VLOOKUP(Tbl_PctTrabajoPlanificado[[#This Row],[Orden mantenimiento]],Data!$E$2:$G$101,2,FALSE)</f>
        <v>C81</v>
      </c>
      <c r="J109" s="37" t="str" cm="1">
        <f t="array" ref="J109">_xlfn.IFS(I109="C81","Pl.Termoelec.Chuq.",I109="C82","Pl.Dist.Energ.Elec",I109="C89","Pl.Mant.Ind.Electr",I109="CO0","Concentradora A0",I109="CO1","Concentradora A1",I109="CO2","Concentradora A2",I109="CB1","SAE Centralizado",I109="C71","Pl.Maestranza.Cent",I109="C72","Pl.Calderería.Cent",I109="C74","CONTRATOS METALMEC",I109="C40","Planif. Refinería",I109="SAPCI","SAPCI",TRUE,"Código no encontrado")</f>
        <v>Pl.Termoelec.Chuq.</v>
      </c>
      <c r="K109" s="1" t="s">
        <v>327</v>
      </c>
      <c r="L109" s="1" t="s">
        <v>328</v>
      </c>
      <c r="M109" s="1" t="s">
        <v>186</v>
      </c>
      <c r="N109" s="1" t="s">
        <v>104</v>
      </c>
      <c r="O109" s="37">
        <f>Tbl_PctTrabajoPlanificado[[#This Row],[Fecha inicio real]]-Tbl_PctTrabajoPlanificado[[#This Row],[Fecha Libera Orden]]</f>
        <v>-1</v>
      </c>
      <c r="P109" s="3">
        <v>46154</v>
      </c>
      <c r="Q109" s="3">
        <v>46153</v>
      </c>
      <c r="R109" s="1" t="s">
        <v>23</v>
      </c>
      <c r="S109" s="12"/>
      <c r="T109" s="12"/>
      <c r="U109" s="11">
        <v>3</v>
      </c>
      <c r="V109" t="s">
        <v>463</v>
      </c>
    </row>
    <row r="110" spans="1:22" ht="15.75" thickBot="1" x14ac:dyDescent="0.3">
      <c r="A110" s="18" t="s">
        <v>155</v>
      </c>
      <c r="B110" s="1" t="s">
        <v>14</v>
      </c>
      <c r="C110" s="1" t="s">
        <v>47</v>
      </c>
      <c r="D110" s="1" t="s">
        <v>48</v>
      </c>
      <c r="E110" s="1" t="s">
        <v>56</v>
      </c>
      <c r="F110" s="1" t="s">
        <v>450</v>
      </c>
      <c r="G110" s="1" t="s">
        <v>106</v>
      </c>
      <c r="H110" s="1" t="s">
        <v>105</v>
      </c>
      <c r="I110" s="37" t="str">
        <f>VLOOKUP(Tbl_PctTrabajoPlanificado[[#This Row],[Orden mantenimiento]],Data!$E$2:$G$101,2,FALSE)</f>
        <v>C81</v>
      </c>
      <c r="J110" s="37" t="str" cm="1">
        <f t="array" ref="J110">_xlfn.IFS(I110="C81","Pl.Termoelec.Chuq.",I110="C82","Pl.Dist.Energ.Elec",I110="C89","Pl.Mant.Ind.Electr",I110="CO0","Concentradora A0",I110="CO1","Concentradora A1",I110="CO2","Concentradora A2",I110="CB1","SAE Centralizado",I110="C71","Pl.Maestranza.Cent",I110="C72","Pl.Calderería.Cent",I110="C74","CONTRATOS METALMEC",I110="C40","Planif. Refinería",I110="SAPCI","SAPCI",TRUE,"Código no encontrado")</f>
        <v>Pl.Termoelec.Chuq.</v>
      </c>
      <c r="K110" s="1" t="s">
        <v>329</v>
      </c>
      <c r="L110" s="1" t="s">
        <v>330</v>
      </c>
      <c r="M110" s="1" t="s">
        <v>186</v>
      </c>
      <c r="N110" s="1" t="s">
        <v>104</v>
      </c>
      <c r="O110" s="37">
        <f>Tbl_PctTrabajoPlanificado[[#This Row],[Fecha inicio real]]-Tbl_PctTrabajoPlanificado[[#This Row],[Fecha Libera Orden]]</f>
        <v>0</v>
      </c>
      <c r="P110" s="3">
        <v>46153</v>
      </c>
      <c r="Q110" s="3">
        <v>46153</v>
      </c>
      <c r="R110" s="1" t="s">
        <v>23</v>
      </c>
      <c r="S110" s="6"/>
      <c r="T110" s="6"/>
      <c r="U110" s="7">
        <v>1</v>
      </c>
      <c r="V110" t="s">
        <v>463</v>
      </c>
    </row>
    <row r="111" spans="1:22" ht="15.75" thickBot="1" x14ac:dyDescent="0.3">
      <c r="A111" s="18" t="s">
        <v>155</v>
      </c>
      <c r="B111" s="1" t="s">
        <v>14</v>
      </c>
      <c r="C111" s="1" t="s">
        <v>47</v>
      </c>
      <c r="D111" s="1" t="s">
        <v>48</v>
      </c>
      <c r="E111" s="1" t="s">
        <v>56</v>
      </c>
      <c r="F111" s="1" t="s">
        <v>450</v>
      </c>
      <c r="G111" s="1" t="s">
        <v>106</v>
      </c>
      <c r="H111" s="1" t="s">
        <v>105</v>
      </c>
      <c r="I111" s="37" t="str">
        <f>VLOOKUP(Tbl_PctTrabajoPlanificado[[#This Row],[Orden mantenimiento]],Data!$E$2:$G$101,2,FALSE)</f>
        <v>C81</v>
      </c>
      <c r="J111" s="37" t="str" cm="1">
        <f t="array" ref="J111">_xlfn.IFS(I111="C81","Pl.Termoelec.Chuq.",I111="C82","Pl.Dist.Energ.Elec",I111="C89","Pl.Mant.Ind.Electr",I111="CO0","Concentradora A0",I111="CO1","Concentradora A1",I111="CO2","Concentradora A2",I111="CB1","SAE Centralizado",I111="C71","Pl.Maestranza.Cent",I111="C72","Pl.Calderería.Cent",I111="C74","CONTRATOS METALMEC",I111="C40","Planif. Refinería",I111="SAPCI","SAPCI",TRUE,"Código no encontrado")</f>
        <v>Pl.Termoelec.Chuq.</v>
      </c>
      <c r="K111" s="1" t="s">
        <v>331</v>
      </c>
      <c r="L111" s="1" t="s">
        <v>332</v>
      </c>
      <c r="M111" s="1" t="s">
        <v>320</v>
      </c>
      <c r="N111" s="1" t="s">
        <v>104</v>
      </c>
      <c r="O111" s="37">
        <f>Tbl_PctTrabajoPlanificado[[#This Row],[Fecha inicio real]]-Tbl_PctTrabajoPlanificado[[#This Row],[Fecha Libera Orden]]</f>
        <v>0</v>
      </c>
      <c r="P111" s="3">
        <v>46154</v>
      </c>
      <c r="Q111" s="3">
        <v>46154</v>
      </c>
      <c r="R111" s="1" t="s">
        <v>23</v>
      </c>
      <c r="S111" s="12"/>
      <c r="T111" s="12"/>
      <c r="U111" s="11">
        <v>6</v>
      </c>
      <c r="V111" t="s">
        <v>463</v>
      </c>
    </row>
    <row r="112" spans="1:22" ht="15.75" thickBot="1" x14ac:dyDescent="0.3">
      <c r="A112" s="18" t="s">
        <v>155</v>
      </c>
      <c r="B112" s="1" t="s">
        <v>14</v>
      </c>
      <c r="C112" s="1" t="s">
        <v>47</v>
      </c>
      <c r="D112" s="1" t="s">
        <v>48</v>
      </c>
      <c r="E112" s="1" t="s">
        <v>56</v>
      </c>
      <c r="F112" s="1" t="s">
        <v>450</v>
      </c>
      <c r="G112" s="1" t="s">
        <v>106</v>
      </c>
      <c r="H112" s="1" t="s">
        <v>105</v>
      </c>
      <c r="I112" s="37" t="str">
        <f>VLOOKUP(Tbl_PctTrabajoPlanificado[[#This Row],[Orden mantenimiento]],Data!$E$2:$G$101,2,FALSE)</f>
        <v>C81</v>
      </c>
      <c r="J112" s="37" t="str" cm="1">
        <f t="array" ref="J112">_xlfn.IFS(I112="C81","Pl.Termoelec.Chuq.",I112="C82","Pl.Dist.Energ.Elec",I112="C89","Pl.Mant.Ind.Electr",I112="CO0","Concentradora A0",I112="CO1","Concentradora A1",I112="CO2","Concentradora A2",I112="CB1","SAE Centralizado",I112="C71","Pl.Maestranza.Cent",I112="C72","Pl.Calderería.Cent",I112="C74","CONTRATOS METALMEC",I112="C40","Planif. Refinería",I112="SAPCI","SAPCI",TRUE,"Código no encontrado")</f>
        <v>Pl.Termoelec.Chuq.</v>
      </c>
      <c r="K112" s="1" t="s">
        <v>331</v>
      </c>
      <c r="L112" s="1" t="s">
        <v>332</v>
      </c>
      <c r="M112" s="1" t="s">
        <v>186</v>
      </c>
      <c r="N112" s="1" t="s">
        <v>104</v>
      </c>
      <c r="O112" s="37">
        <f>Tbl_PctTrabajoPlanificado[[#This Row],[Fecha inicio real]]-Tbl_PctTrabajoPlanificado[[#This Row],[Fecha Libera Orden]]</f>
        <v>1</v>
      </c>
      <c r="P112" s="3">
        <v>46154</v>
      </c>
      <c r="Q112" s="3">
        <v>46155</v>
      </c>
      <c r="R112" s="1" t="s">
        <v>23</v>
      </c>
      <c r="S112" s="6"/>
      <c r="T112" s="6"/>
      <c r="U112" s="7">
        <v>1</v>
      </c>
      <c r="V112" t="s">
        <v>463</v>
      </c>
    </row>
    <row r="113" spans="1:22" ht="15.75" thickBot="1" x14ac:dyDescent="0.3">
      <c r="A113" s="18" t="s">
        <v>155</v>
      </c>
      <c r="B113" s="1" t="s">
        <v>14</v>
      </c>
      <c r="C113" s="1" t="s">
        <v>47</v>
      </c>
      <c r="D113" s="1" t="s">
        <v>48</v>
      </c>
      <c r="E113" s="1" t="s">
        <v>56</v>
      </c>
      <c r="F113" s="1" t="s">
        <v>450</v>
      </c>
      <c r="G113" s="1" t="s">
        <v>106</v>
      </c>
      <c r="H113" s="1" t="s">
        <v>105</v>
      </c>
      <c r="I113" s="37" t="str">
        <f>VLOOKUP(Tbl_PctTrabajoPlanificado[[#This Row],[Orden mantenimiento]],Data!$E$2:$G$101,2,FALSE)</f>
        <v>C81</v>
      </c>
      <c r="J113" s="37" t="str" cm="1">
        <f t="array" ref="J113">_xlfn.IFS(I113="C81","Pl.Termoelec.Chuq.",I113="C82","Pl.Dist.Energ.Elec",I113="C89","Pl.Mant.Ind.Electr",I113="CO0","Concentradora A0",I113="CO1","Concentradora A1",I113="CO2","Concentradora A2",I113="CB1","SAE Centralizado",I113="C71","Pl.Maestranza.Cent",I113="C72","Pl.Calderería.Cent",I113="C74","CONTRATOS METALMEC",I113="C40","Planif. Refinería",I113="SAPCI","SAPCI",TRUE,"Código no encontrado")</f>
        <v>Pl.Termoelec.Chuq.</v>
      </c>
      <c r="K113" s="1" t="s">
        <v>333</v>
      </c>
      <c r="L113" s="1" t="s">
        <v>334</v>
      </c>
      <c r="M113" s="1" t="s">
        <v>186</v>
      </c>
      <c r="N113" s="1" t="s">
        <v>104</v>
      </c>
      <c r="O113" s="37">
        <f>Tbl_PctTrabajoPlanificado[[#This Row],[Fecha inicio real]]-Tbl_PctTrabajoPlanificado[[#This Row],[Fecha Libera Orden]]</f>
        <v>0</v>
      </c>
      <c r="P113" s="3">
        <v>46154</v>
      </c>
      <c r="Q113" s="3">
        <v>46154</v>
      </c>
      <c r="R113" s="1" t="s">
        <v>23</v>
      </c>
      <c r="S113" s="12"/>
      <c r="T113" s="12"/>
      <c r="U113" s="11">
        <v>2</v>
      </c>
      <c r="V113" t="s">
        <v>463</v>
      </c>
    </row>
    <row r="114" spans="1:22" ht="15.75" thickBot="1" x14ac:dyDescent="0.3">
      <c r="A114" s="18" t="s">
        <v>155</v>
      </c>
      <c r="B114" s="1" t="s">
        <v>14</v>
      </c>
      <c r="C114" s="1" t="s">
        <v>47</v>
      </c>
      <c r="D114" s="1" t="s">
        <v>48</v>
      </c>
      <c r="E114" s="1" t="s">
        <v>56</v>
      </c>
      <c r="F114" s="1" t="s">
        <v>450</v>
      </c>
      <c r="G114" s="1" t="s">
        <v>106</v>
      </c>
      <c r="H114" s="1" t="s">
        <v>105</v>
      </c>
      <c r="I114" s="37" t="str">
        <f>VLOOKUP(Tbl_PctTrabajoPlanificado[[#This Row],[Orden mantenimiento]],Data!$E$2:$G$101,2,FALSE)</f>
        <v>C81</v>
      </c>
      <c r="J114" s="37" t="str" cm="1">
        <f t="array" ref="J114">_xlfn.IFS(I114="C81","Pl.Termoelec.Chuq.",I114="C82","Pl.Dist.Energ.Elec",I114="C89","Pl.Mant.Ind.Electr",I114="CO0","Concentradora A0",I114="CO1","Concentradora A1",I114="CO2","Concentradora A2",I114="CB1","SAE Centralizado",I114="C71","Pl.Maestranza.Cent",I114="C72","Pl.Calderería.Cent",I114="C74","CONTRATOS METALMEC",I114="C40","Planif. Refinería",I114="SAPCI","SAPCI",TRUE,"Código no encontrado")</f>
        <v>Pl.Termoelec.Chuq.</v>
      </c>
      <c r="K114" s="1" t="s">
        <v>335</v>
      </c>
      <c r="L114" s="1" t="s">
        <v>336</v>
      </c>
      <c r="M114" s="1" t="s">
        <v>186</v>
      </c>
      <c r="N114" s="1" t="s">
        <v>104</v>
      </c>
      <c r="O114" s="37">
        <f>Tbl_PctTrabajoPlanificado[[#This Row],[Fecha inicio real]]-Tbl_PctTrabajoPlanificado[[#This Row],[Fecha Libera Orden]]</f>
        <v>0</v>
      </c>
      <c r="P114" s="3">
        <v>46154</v>
      </c>
      <c r="Q114" s="3">
        <v>46154</v>
      </c>
      <c r="R114" s="1" t="s">
        <v>23</v>
      </c>
      <c r="S114" s="6"/>
      <c r="T114" s="6"/>
      <c r="U114" s="7">
        <v>2</v>
      </c>
      <c r="V114" t="s">
        <v>463</v>
      </c>
    </row>
    <row r="115" spans="1:22" ht="15.75" thickBot="1" x14ac:dyDescent="0.3">
      <c r="A115" s="18" t="s">
        <v>155</v>
      </c>
      <c r="B115" s="1" t="s">
        <v>14</v>
      </c>
      <c r="C115" s="1" t="s">
        <v>47</v>
      </c>
      <c r="D115" s="1" t="s">
        <v>48</v>
      </c>
      <c r="E115" s="1" t="s">
        <v>56</v>
      </c>
      <c r="F115" s="1" t="s">
        <v>450</v>
      </c>
      <c r="G115" s="1" t="s">
        <v>106</v>
      </c>
      <c r="H115" s="1" t="s">
        <v>105</v>
      </c>
      <c r="I115" s="37" t="str">
        <f>VLOOKUP(Tbl_PctTrabajoPlanificado[[#This Row],[Orden mantenimiento]],Data!$E$2:$G$101,2,FALSE)</f>
        <v>C81</v>
      </c>
      <c r="J115" s="37" t="str" cm="1">
        <f t="array" ref="J115">_xlfn.IFS(I115="C81","Pl.Termoelec.Chuq.",I115="C82","Pl.Dist.Energ.Elec",I115="C89","Pl.Mant.Ind.Electr",I115="CO0","Concentradora A0",I115="CO1","Concentradora A1",I115="CO2","Concentradora A2",I115="CB1","SAE Centralizado",I115="C71","Pl.Maestranza.Cent",I115="C72","Pl.Calderería.Cent",I115="C74","CONTRATOS METALMEC",I115="C40","Planif. Refinería",I115="SAPCI","SAPCI",TRUE,"Código no encontrado")</f>
        <v>Pl.Termoelec.Chuq.</v>
      </c>
      <c r="K115" s="1" t="s">
        <v>337</v>
      </c>
      <c r="L115" s="1" t="s">
        <v>338</v>
      </c>
      <c r="M115" s="1" t="s">
        <v>186</v>
      </c>
      <c r="N115" s="1" t="s">
        <v>104</v>
      </c>
      <c r="O115" s="37">
        <f>Tbl_PctTrabajoPlanificado[[#This Row],[Fecha inicio real]]-Tbl_PctTrabajoPlanificado[[#This Row],[Fecha Libera Orden]]</f>
        <v>0</v>
      </c>
      <c r="P115" s="3">
        <v>46154</v>
      </c>
      <c r="Q115" s="3">
        <v>46154</v>
      </c>
      <c r="R115" s="1" t="s">
        <v>23</v>
      </c>
      <c r="S115" s="12"/>
      <c r="T115" s="12"/>
      <c r="U115" s="11">
        <v>1</v>
      </c>
      <c r="V115" t="s">
        <v>463</v>
      </c>
    </row>
    <row r="116" spans="1:22" ht="15.75" thickBot="1" x14ac:dyDescent="0.3">
      <c r="A116" s="18" t="s">
        <v>155</v>
      </c>
      <c r="B116" s="1" t="s">
        <v>14</v>
      </c>
      <c r="C116" s="1" t="s">
        <v>47</v>
      </c>
      <c r="D116" s="1" t="s">
        <v>48</v>
      </c>
      <c r="E116" s="1" t="s">
        <v>56</v>
      </c>
      <c r="F116" s="1" t="s">
        <v>450</v>
      </c>
      <c r="G116" s="1" t="s">
        <v>106</v>
      </c>
      <c r="H116" s="1" t="s">
        <v>105</v>
      </c>
      <c r="I116" s="37" t="str">
        <f>VLOOKUP(Tbl_PctTrabajoPlanificado[[#This Row],[Orden mantenimiento]],Data!$E$2:$G$101,2,FALSE)</f>
        <v>C81</v>
      </c>
      <c r="J116" s="37" t="str" cm="1">
        <f t="array" ref="J116">_xlfn.IFS(I116="C81","Pl.Termoelec.Chuq.",I116="C82","Pl.Dist.Energ.Elec",I116="C89","Pl.Mant.Ind.Electr",I116="CO0","Concentradora A0",I116="CO1","Concentradora A1",I116="CO2","Concentradora A2",I116="CB1","SAE Centralizado",I116="C71","Pl.Maestranza.Cent",I116="C72","Pl.Calderería.Cent",I116="C74","CONTRATOS METALMEC",I116="C40","Planif. Refinería",I116="SAPCI","SAPCI",TRUE,"Código no encontrado")</f>
        <v>Pl.Termoelec.Chuq.</v>
      </c>
      <c r="K116" s="1" t="s">
        <v>339</v>
      </c>
      <c r="L116" s="1" t="s">
        <v>340</v>
      </c>
      <c r="M116" s="1" t="s">
        <v>186</v>
      </c>
      <c r="N116" s="1" t="s">
        <v>104</v>
      </c>
      <c r="O116" s="37">
        <f>Tbl_PctTrabajoPlanificado[[#This Row],[Fecha inicio real]]-Tbl_PctTrabajoPlanificado[[#This Row],[Fecha Libera Orden]]</f>
        <v>-1</v>
      </c>
      <c r="P116" s="3">
        <v>46155</v>
      </c>
      <c r="Q116" s="3">
        <v>46154</v>
      </c>
      <c r="R116" s="1" t="s">
        <v>23</v>
      </c>
      <c r="S116" s="6"/>
      <c r="T116" s="6"/>
      <c r="U116" s="7">
        <v>3</v>
      </c>
      <c r="V116" t="s">
        <v>463</v>
      </c>
    </row>
    <row r="117" spans="1:22" ht="15.75" thickBot="1" x14ac:dyDescent="0.3">
      <c r="A117" s="18" t="s">
        <v>155</v>
      </c>
      <c r="B117" s="1" t="s">
        <v>14</v>
      </c>
      <c r="C117" s="1" t="s">
        <v>47</v>
      </c>
      <c r="D117" s="1" t="s">
        <v>48</v>
      </c>
      <c r="E117" s="1" t="s">
        <v>56</v>
      </c>
      <c r="F117" s="1" t="s">
        <v>450</v>
      </c>
      <c r="G117" s="1" t="s">
        <v>106</v>
      </c>
      <c r="H117" s="1" t="s">
        <v>105</v>
      </c>
      <c r="I117" s="37" t="str">
        <f>VLOOKUP(Tbl_PctTrabajoPlanificado[[#This Row],[Orden mantenimiento]],Data!$E$2:$G$101,2,FALSE)</f>
        <v>C81</v>
      </c>
      <c r="J117" s="37" t="str" cm="1">
        <f t="array" ref="J117">_xlfn.IFS(I117="C81","Pl.Termoelec.Chuq.",I117="C82","Pl.Dist.Energ.Elec",I117="C89","Pl.Mant.Ind.Electr",I117="CO0","Concentradora A0",I117="CO1","Concentradora A1",I117="CO2","Concentradora A2",I117="CB1","SAE Centralizado",I117="C71","Pl.Maestranza.Cent",I117="C72","Pl.Calderería.Cent",I117="C74","CONTRATOS METALMEC",I117="C40","Planif. Refinería",I117="SAPCI","SAPCI",TRUE,"Código no encontrado")</f>
        <v>Pl.Termoelec.Chuq.</v>
      </c>
      <c r="K117" s="1" t="s">
        <v>341</v>
      </c>
      <c r="L117" s="1" t="s">
        <v>342</v>
      </c>
      <c r="M117" s="1" t="s">
        <v>161</v>
      </c>
      <c r="N117" s="1" t="s">
        <v>104</v>
      </c>
      <c r="O117" s="37">
        <f>Tbl_PctTrabajoPlanificado[[#This Row],[Fecha inicio real]]-Tbl_PctTrabajoPlanificado[[#This Row],[Fecha Libera Orden]]</f>
        <v>-1</v>
      </c>
      <c r="P117" s="3">
        <v>46158</v>
      </c>
      <c r="Q117" s="3">
        <v>46157</v>
      </c>
      <c r="R117" s="1" t="s">
        <v>23</v>
      </c>
      <c r="S117" s="12"/>
      <c r="T117" s="12"/>
      <c r="U117" s="11">
        <v>3</v>
      </c>
      <c r="V117" t="s">
        <v>463</v>
      </c>
    </row>
    <row r="118" spans="1:22" ht="15.75" thickBot="1" x14ac:dyDescent="0.3">
      <c r="A118" s="18" t="s">
        <v>155</v>
      </c>
      <c r="B118" s="1" t="s">
        <v>14</v>
      </c>
      <c r="C118" s="1" t="s">
        <v>47</v>
      </c>
      <c r="D118" s="1" t="s">
        <v>48</v>
      </c>
      <c r="E118" s="1" t="s">
        <v>56</v>
      </c>
      <c r="F118" s="1" t="s">
        <v>450</v>
      </c>
      <c r="G118" s="1" t="s">
        <v>106</v>
      </c>
      <c r="H118" s="1" t="s">
        <v>105</v>
      </c>
      <c r="I118" s="37" t="str">
        <f>VLOOKUP(Tbl_PctTrabajoPlanificado[[#This Row],[Orden mantenimiento]],Data!$E$2:$G$101,2,FALSE)</f>
        <v>C81</v>
      </c>
      <c r="J118" s="37" t="str" cm="1">
        <f t="array" ref="J118">_xlfn.IFS(I118="C81","Pl.Termoelec.Chuq.",I118="C82","Pl.Dist.Energ.Elec",I118="C89","Pl.Mant.Ind.Electr",I118="CO0","Concentradora A0",I118="CO1","Concentradora A1",I118="CO2","Concentradora A2",I118="CB1","SAE Centralizado",I118="C71","Pl.Maestranza.Cent",I118="C72","Pl.Calderería.Cent",I118="C74","CONTRATOS METALMEC",I118="C40","Planif. Refinería",I118="SAPCI","SAPCI",TRUE,"Código no encontrado")</f>
        <v>Pl.Termoelec.Chuq.</v>
      </c>
      <c r="K118" s="1" t="s">
        <v>343</v>
      </c>
      <c r="L118" s="1" t="s">
        <v>344</v>
      </c>
      <c r="M118" s="1" t="s">
        <v>186</v>
      </c>
      <c r="N118" s="1" t="s">
        <v>104</v>
      </c>
      <c r="O118" s="37">
        <f>Tbl_PctTrabajoPlanificado[[#This Row],[Fecha inicio real]]-Tbl_PctTrabajoPlanificado[[#This Row],[Fecha Libera Orden]]</f>
        <v>-2</v>
      </c>
      <c r="P118" s="3">
        <v>46158</v>
      </c>
      <c r="Q118" s="3">
        <v>46156</v>
      </c>
      <c r="R118" s="1" t="s">
        <v>23</v>
      </c>
      <c r="S118" s="6"/>
      <c r="T118" s="6"/>
      <c r="U118" s="7">
        <v>1</v>
      </c>
      <c r="V118" t="s">
        <v>463</v>
      </c>
    </row>
    <row r="119" spans="1:22" ht="15.75" thickBot="1" x14ac:dyDescent="0.3">
      <c r="A119" s="18" t="s">
        <v>155</v>
      </c>
      <c r="B119" s="1" t="s">
        <v>14</v>
      </c>
      <c r="C119" s="1" t="s">
        <v>47</v>
      </c>
      <c r="D119" s="1" t="s">
        <v>48</v>
      </c>
      <c r="E119" s="1" t="s">
        <v>56</v>
      </c>
      <c r="F119" s="1" t="s">
        <v>450</v>
      </c>
      <c r="G119" s="1" t="s">
        <v>106</v>
      </c>
      <c r="H119" s="1" t="s">
        <v>105</v>
      </c>
      <c r="I119" s="37" t="str">
        <f>VLOOKUP(Tbl_PctTrabajoPlanificado[[#This Row],[Orden mantenimiento]],Data!$E$2:$G$101,2,FALSE)</f>
        <v>C81</v>
      </c>
      <c r="J119" s="37" t="str" cm="1">
        <f t="array" ref="J119">_xlfn.IFS(I119="C81","Pl.Termoelec.Chuq.",I119="C82","Pl.Dist.Energ.Elec",I119="C89","Pl.Mant.Ind.Electr",I119="CO0","Concentradora A0",I119="CO1","Concentradora A1",I119="CO2","Concentradora A2",I119="CB1","SAE Centralizado",I119="C71","Pl.Maestranza.Cent",I119="C72","Pl.Calderería.Cent",I119="C74","CONTRATOS METALMEC",I119="C40","Planif. Refinería",I119="SAPCI","SAPCI",TRUE,"Código no encontrado")</f>
        <v>Pl.Termoelec.Chuq.</v>
      </c>
      <c r="K119" s="1" t="s">
        <v>343</v>
      </c>
      <c r="L119" s="1" t="s">
        <v>344</v>
      </c>
      <c r="M119" s="1" t="s">
        <v>186</v>
      </c>
      <c r="N119" s="1" t="s">
        <v>104</v>
      </c>
      <c r="O119" s="37">
        <f>Tbl_PctTrabajoPlanificado[[#This Row],[Fecha inicio real]]-Tbl_PctTrabajoPlanificado[[#This Row],[Fecha Libera Orden]]</f>
        <v>-1</v>
      </c>
      <c r="P119" s="3">
        <v>46158</v>
      </c>
      <c r="Q119" s="3">
        <v>46157</v>
      </c>
      <c r="R119" s="1" t="s">
        <v>23</v>
      </c>
      <c r="S119" s="12"/>
      <c r="T119" s="12"/>
      <c r="U119" s="11">
        <v>2</v>
      </c>
      <c r="V119" t="s">
        <v>463</v>
      </c>
    </row>
    <row r="120" spans="1:22" ht="15.75" thickBot="1" x14ac:dyDescent="0.3">
      <c r="A120" s="18" t="s">
        <v>155</v>
      </c>
      <c r="B120" s="1" t="s">
        <v>14</v>
      </c>
      <c r="C120" s="1" t="s">
        <v>47</v>
      </c>
      <c r="D120" s="1" t="s">
        <v>48</v>
      </c>
      <c r="E120" s="1" t="s">
        <v>56</v>
      </c>
      <c r="F120" s="1" t="s">
        <v>450</v>
      </c>
      <c r="G120" s="1" t="s">
        <v>106</v>
      </c>
      <c r="H120" s="1" t="s">
        <v>105</v>
      </c>
      <c r="I120" s="37" t="str">
        <f>VLOOKUP(Tbl_PctTrabajoPlanificado[[#This Row],[Orden mantenimiento]],Data!$E$2:$G$101,2,FALSE)</f>
        <v>C81</v>
      </c>
      <c r="J120" s="37" t="str" cm="1">
        <f t="array" ref="J120">_xlfn.IFS(I120="C81","Pl.Termoelec.Chuq.",I120="C82","Pl.Dist.Energ.Elec",I120="C89","Pl.Mant.Ind.Electr",I120="CO0","Concentradora A0",I120="CO1","Concentradora A1",I120="CO2","Concentradora A2",I120="CB1","SAE Centralizado",I120="C71","Pl.Maestranza.Cent",I120="C72","Pl.Calderería.Cent",I120="C74","CONTRATOS METALMEC",I120="C40","Planif. Refinería",I120="SAPCI","SAPCI",TRUE,"Código no encontrado")</f>
        <v>Pl.Termoelec.Chuq.</v>
      </c>
      <c r="K120" s="1" t="s">
        <v>345</v>
      </c>
      <c r="L120" s="1" t="s">
        <v>346</v>
      </c>
      <c r="M120" s="1" t="s">
        <v>320</v>
      </c>
      <c r="N120" s="1" t="s">
        <v>104</v>
      </c>
      <c r="O120" s="37">
        <f>Tbl_PctTrabajoPlanificado[[#This Row],[Fecha inicio real]]-Tbl_PctTrabajoPlanificado[[#This Row],[Fecha Libera Orden]]</f>
        <v>0</v>
      </c>
      <c r="P120" s="3">
        <v>46158</v>
      </c>
      <c r="Q120" s="3">
        <v>46158</v>
      </c>
      <c r="R120" s="1" t="s">
        <v>23</v>
      </c>
      <c r="S120" s="6"/>
      <c r="T120" s="6"/>
      <c r="U120" s="7">
        <v>1</v>
      </c>
      <c r="V120" t="s">
        <v>463</v>
      </c>
    </row>
    <row r="121" spans="1:22" ht="15.75" thickBot="1" x14ac:dyDescent="0.3">
      <c r="A121" s="18" t="s">
        <v>155</v>
      </c>
      <c r="B121" s="1" t="s">
        <v>14</v>
      </c>
      <c r="C121" s="1" t="s">
        <v>47</v>
      </c>
      <c r="D121" s="1" t="s">
        <v>48</v>
      </c>
      <c r="E121" s="1" t="s">
        <v>56</v>
      </c>
      <c r="F121" s="1" t="s">
        <v>450</v>
      </c>
      <c r="G121" s="1" t="s">
        <v>106</v>
      </c>
      <c r="H121" s="1" t="s">
        <v>105</v>
      </c>
      <c r="I121" s="37" t="str">
        <f>VLOOKUP(Tbl_PctTrabajoPlanificado[[#This Row],[Orden mantenimiento]],Data!$E$2:$G$101,2,FALSE)</f>
        <v>C81</v>
      </c>
      <c r="J121" s="37" t="str" cm="1">
        <f t="array" ref="J121">_xlfn.IFS(I121="C81","Pl.Termoelec.Chuq.",I121="C82","Pl.Dist.Energ.Elec",I121="C89","Pl.Mant.Ind.Electr",I121="CO0","Concentradora A0",I121="CO1","Concentradora A1",I121="CO2","Concentradora A2",I121="CB1","SAE Centralizado",I121="C71","Pl.Maestranza.Cent",I121="C72","Pl.Calderería.Cent",I121="C74","CONTRATOS METALMEC",I121="C40","Planif. Refinería",I121="SAPCI","SAPCI",TRUE,"Código no encontrado")</f>
        <v>Pl.Termoelec.Chuq.</v>
      </c>
      <c r="K121" s="1" t="s">
        <v>347</v>
      </c>
      <c r="L121" s="1" t="s">
        <v>348</v>
      </c>
      <c r="M121" s="1" t="s">
        <v>349</v>
      </c>
      <c r="N121" s="1" t="s">
        <v>104</v>
      </c>
      <c r="O121" s="37">
        <f>Tbl_PctTrabajoPlanificado[[#This Row],[Fecha inicio real]]-Tbl_PctTrabajoPlanificado[[#This Row],[Fecha Libera Orden]]</f>
        <v>-1</v>
      </c>
      <c r="P121" s="3">
        <v>46159</v>
      </c>
      <c r="Q121" s="3">
        <v>46158</v>
      </c>
      <c r="R121" s="1" t="s">
        <v>23</v>
      </c>
      <c r="S121" s="12"/>
      <c r="T121" s="12"/>
      <c r="U121" s="11">
        <v>1</v>
      </c>
      <c r="V121" t="s">
        <v>463</v>
      </c>
    </row>
    <row r="122" spans="1:22" ht="15.75" thickBot="1" x14ac:dyDescent="0.3">
      <c r="A122" s="18" t="s">
        <v>155</v>
      </c>
      <c r="B122" s="1" t="s">
        <v>14</v>
      </c>
      <c r="C122" s="1" t="s">
        <v>47</v>
      </c>
      <c r="D122" s="1" t="s">
        <v>48</v>
      </c>
      <c r="E122" s="1" t="s">
        <v>56</v>
      </c>
      <c r="F122" s="1" t="s">
        <v>450</v>
      </c>
      <c r="G122" s="1" t="s">
        <v>106</v>
      </c>
      <c r="H122" s="1" t="s">
        <v>105</v>
      </c>
      <c r="I122" s="37" t="str">
        <f>VLOOKUP(Tbl_PctTrabajoPlanificado[[#This Row],[Orden mantenimiento]],Data!$E$2:$G$101,2,FALSE)</f>
        <v>C81</v>
      </c>
      <c r="J122" s="37" t="str" cm="1">
        <f t="array" ref="J122">_xlfn.IFS(I122="C81","Pl.Termoelec.Chuq.",I122="C82","Pl.Dist.Energ.Elec",I122="C89","Pl.Mant.Ind.Electr",I122="CO0","Concentradora A0",I122="CO1","Concentradora A1",I122="CO2","Concentradora A2",I122="CB1","SAE Centralizado",I122="C71","Pl.Maestranza.Cent",I122="C72","Pl.Calderería.Cent",I122="C74","CONTRATOS METALMEC",I122="C40","Planif. Refinería",I122="SAPCI","SAPCI",TRUE,"Código no encontrado")</f>
        <v>Pl.Termoelec.Chuq.</v>
      </c>
      <c r="K122" s="1" t="s">
        <v>347</v>
      </c>
      <c r="L122" s="1" t="s">
        <v>348</v>
      </c>
      <c r="M122" s="1" t="s">
        <v>161</v>
      </c>
      <c r="N122" s="1" t="s">
        <v>104</v>
      </c>
      <c r="O122" s="37">
        <f>Tbl_PctTrabajoPlanificado[[#This Row],[Fecha inicio real]]-Tbl_PctTrabajoPlanificado[[#This Row],[Fecha Libera Orden]]</f>
        <v>-1</v>
      </c>
      <c r="P122" s="3">
        <v>46159</v>
      </c>
      <c r="Q122" s="3">
        <v>46158</v>
      </c>
      <c r="R122" s="1" t="s">
        <v>23</v>
      </c>
      <c r="S122" s="6"/>
      <c r="T122" s="6"/>
      <c r="U122" s="7">
        <v>2</v>
      </c>
      <c r="V122" t="s">
        <v>463</v>
      </c>
    </row>
    <row r="123" spans="1:22" ht="15.75" thickBot="1" x14ac:dyDescent="0.3">
      <c r="A123" s="18" t="s">
        <v>155</v>
      </c>
      <c r="B123" s="1" t="s">
        <v>14</v>
      </c>
      <c r="C123" s="1" t="s">
        <v>47</v>
      </c>
      <c r="D123" s="1" t="s">
        <v>48</v>
      </c>
      <c r="E123" s="1" t="s">
        <v>56</v>
      </c>
      <c r="F123" s="1" t="s">
        <v>450</v>
      </c>
      <c r="G123" s="1" t="s">
        <v>106</v>
      </c>
      <c r="H123" s="1" t="s">
        <v>105</v>
      </c>
      <c r="I123" s="37" t="str">
        <f>VLOOKUP(Tbl_PctTrabajoPlanificado[[#This Row],[Orden mantenimiento]],Data!$E$2:$G$101,2,FALSE)</f>
        <v>C81</v>
      </c>
      <c r="J123" s="37" t="str" cm="1">
        <f t="array" ref="J123">_xlfn.IFS(I123="C81","Pl.Termoelec.Chuq.",I123="C82","Pl.Dist.Energ.Elec",I123="C89","Pl.Mant.Ind.Electr",I123="CO0","Concentradora A0",I123="CO1","Concentradora A1",I123="CO2","Concentradora A2",I123="CB1","SAE Centralizado",I123="C71","Pl.Maestranza.Cent",I123="C72","Pl.Calderería.Cent",I123="C74","CONTRATOS METALMEC",I123="C40","Planif. Refinería",I123="SAPCI","SAPCI",TRUE,"Código no encontrado")</f>
        <v>Pl.Termoelec.Chuq.</v>
      </c>
      <c r="K123" s="1" t="s">
        <v>350</v>
      </c>
      <c r="L123" s="1" t="s">
        <v>351</v>
      </c>
      <c r="M123" s="1" t="s">
        <v>349</v>
      </c>
      <c r="N123" s="1" t="s">
        <v>104</v>
      </c>
      <c r="O123" s="37">
        <f>Tbl_PctTrabajoPlanificado[[#This Row],[Fecha inicio real]]-Tbl_PctTrabajoPlanificado[[#This Row],[Fecha Libera Orden]]</f>
        <v>0</v>
      </c>
      <c r="P123" s="3">
        <v>46159</v>
      </c>
      <c r="Q123" s="3">
        <v>46159</v>
      </c>
      <c r="R123" s="1" t="s">
        <v>23</v>
      </c>
      <c r="S123" s="12"/>
      <c r="T123" s="12"/>
      <c r="U123" s="11">
        <v>1.5</v>
      </c>
      <c r="V123" t="s">
        <v>463</v>
      </c>
    </row>
    <row r="124" spans="1:22" ht="15.75" thickBot="1" x14ac:dyDescent="0.3">
      <c r="A124" s="18" t="s">
        <v>155</v>
      </c>
      <c r="B124" s="1" t="s">
        <v>14</v>
      </c>
      <c r="C124" s="1" t="s">
        <v>94</v>
      </c>
      <c r="D124" s="1" t="s">
        <v>95</v>
      </c>
      <c r="E124" s="1" t="s">
        <v>56</v>
      </c>
      <c r="F124" s="1" t="s">
        <v>450</v>
      </c>
      <c r="G124" s="1" t="s">
        <v>100</v>
      </c>
      <c r="H124" s="1" t="s">
        <v>99</v>
      </c>
      <c r="I124" s="37" t="str">
        <f>VLOOKUP(Tbl_PctTrabajoPlanificado[[#This Row],[Orden mantenimiento]],Data!$E$2:$G$101,2,FALSE)</f>
        <v>C81</v>
      </c>
      <c r="J124" s="37" t="str" cm="1">
        <f t="array" ref="J124">_xlfn.IFS(I124="C81","Pl.Termoelec.Chuq.",I124="C82","Pl.Dist.Energ.Elec",I124="C89","Pl.Mant.Ind.Electr",I124="CO0","Concentradora A0",I124="CO1","Concentradora A1",I124="CO2","Concentradora A2",I124="CB1","SAE Centralizado",I124="C71","Pl.Maestranza.Cent",I124="C72","Pl.Calderería.Cent",I124="C74","CONTRATOS METALMEC",I124="C40","Planif. Refinería",I124="SAPCI","SAPCI",TRUE,"Código no encontrado")</f>
        <v>Pl.Termoelec.Chuq.</v>
      </c>
      <c r="K124" s="1" t="s">
        <v>352</v>
      </c>
      <c r="L124" s="1" t="s">
        <v>353</v>
      </c>
      <c r="M124" s="1" t="s">
        <v>249</v>
      </c>
      <c r="N124" s="1" t="s">
        <v>52</v>
      </c>
      <c r="O124" s="37">
        <f>Tbl_PctTrabajoPlanificado[[#This Row],[Fecha inicio real]]-Tbl_PctTrabajoPlanificado[[#This Row],[Fecha Libera Orden]]</f>
        <v>8</v>
      </c>
      <c r="P124" s="3">
        <v>46147</v>
      </c>
      <c r="Q124" s="3">
        <v>46155</v>
      </c>
      <c r="R124" s="1" t="s">
        <v>354</v>
      </c>
      <c r="S124" s="10">
        <v>100</v>
      </c>
      <c r="T124" s="11">
        <v>25.5</v>
      </c>
      <c r="U124" s="11">
        <v>25.5</v>
      </c>
      <c r="V124" t="s">
        <v>464</v>
      </c>
    </row>
    <row r="125" spans="1:22" ht="15.75" thickBot="1" x14ac:dyDescent="0.3">
      <c r="A125" s="18" t="s">
        <v>155</v>
      </c>
      <c r="B125" s="1" t="s">
        <v>14</v>
      </c>
      <c r="C125" s="1" t="s">
        <v>94</v>
      </c>
      <c r="D125" s="1" t="s">
        <v>131</v>
      </c>
      <c r="E125" s="1" t="s">
        <v>25</v>
      </c>
      <c r="F125" s="1" t="s">
        <v>444</v>
      </c>
      <c r="G125" s="1" t="s">
        <v>100</v>
      </c>
      <c r="H125" s="1" t="s">
        <v>99</v>
      </c>
      <c r="I125" s="37" t="str">
        <f>VLOOKUP(Tbl_PctTrabajoPlanificado[[#This Row],[Orden mantenimiento]],Data!$E$2:$G$101,2,FALSE)</f>
        <v>C82</v>
      </c>
      <c r="J125" s="37" t="str" cm="1">
        <f t="array" ref="J125">_xlfn.IFS(I125="C81","Pl.Termoelec.Chuq.",I125="C82","Pl.Dist.Energ.Elec",I125="C89","Pl.Mant.Ind.Electr",I125="CO0","Concentradora A0",I125="CO1","Concentradora A1",I125="CO2","Concentradora A2",I125="CB1","SAE Centralizado",I125="C71","Pl.Maestranza.Cent",I125="C72","Pl.Calderería.Cent",I125="C74","CONTRATOS METALMEC",I125="C40","Planif. Refinería",I125="SAPCI","SAPCI",TRUE,"Código no encontrado")</f>
        <v>Pl.Dist.Energ.Elec</v>
      </c>
      <c r="K125" s="1" t="s">
        <v>355</v>
      </c>
      <c r="L125" s="1" t="s">
        <v>356</v>
      </c>
      <c r="M125" s="1" t="s">
        <v>164</v>
      </c>
      <c r="N125" s="1" t="s">
        <v>52</v>
      </c>
      <c r="O125" s="37">
        <f>Tbl_PctTrabajoPlanificado[[#This Row],[Fecha inicio real]]-Tbl_PctTrabajoPlanificado[[#This Row],[Fecha Libera Orden]]</f>
        <v>15</v>
      </c>
      <c r="P125" s="3">
        <v>46140</v>
      </c>
      <c r="Q125" s="3">
        <v>46155</v>
      </c>
      <c r="R125" s="1" t="s">
        <v>357</v>
      </c>
      <c r="S125" s="9">
        <v>100</v>
      </c>
      <c r="T125" s="7">
        <v>3</v>
      </c>
      <c r="U125" s="7">
        <v>3</v>
      </c>
      <c r="V125" t="s">
        <v>464</v>
      </c>
    </row>
    <row r="126" spans="1:22" ht="15.75" thickBot="1" x14ac:dyDescent="0.3">
      <c r="A126" s="18" t="s">
        <v>155</v>
      </c>
      <c r="B126" s="1" t="s">
        <v>14</v>
      </c>
      <c r="C126" s="1" t="s">
        <v>94</v>
      </c>
      <c r="D126" s="1" t="s">
        <v>131</v>
      </c>
      <c r="E126" s="1" t="s">
        <v>25</v>
      </c>
      <c r="F126" s="1" t="s">
        <v>444</v>
      </c>
      <c r="G126" s="1" t="s">
        <v>100</v>
      </c>
      <c r="H126" s="1" t="s">
        <v>99</v>
      </c>
      <c r="I126" s="37" t="str">
        <f>VLOOKUP(Tbl_PctTrabajoPlanificado[[#This Row],[Orden mantenimiento]],Data!$E$2:$G$101,2,FALSE)</f>
        <v>C82</v>
      </c>
      <c r="J126" s="37" t="str" cm="1">
        <f t="array" ref="J126">_xlfn.IFS(I126="C81","Pl.Termoelec.Chuq.",I126="C82","Pl.Dist.Energ.Elec",I126="C89","Pl.Mant.Ind.Electr",I126="CO0","Concentradora A0",I126="CO1","Concentradora A1",I126="CO2","Concentradora A2",I126="CB1","SAE Centralizado",I126="C71","Pl.Maestranza.Cent",I126="C72","Pl.Calderería.Cent",I126="C74","CONTRATOS METALMEC",I126="C40","Planif. Refinería",I126="SAPCI","SAPCI",TRUE,"Código no encontrado")</f>
        <v>Pl.Dist.Energ.Elec</v>
      </c>
      <c r="K126" s="1" t="s">
        <v>358</v>
      </c>
      <c r="L126" s="1" t="s">
        <v>359</v>
      </c>
      <c r="M126" s="1" t="s">
        <v>164</v>
      </c>
      <c r="N126" s="1" t="s">
        <v>52</v>
      </c>
      <c r="O126" s="37">
        <f>Tbl_PctTrabajoPlanificado[[#This Row],[Fecha inicio real]]-Tbl_PctTrabajoPlanificado[[#This Row],[Fecha Libera Orden]]</f>
        <v>15</v>
      </c>
      <c r="P126" s="3">
        <v>46140</v>
      </c>
      <c r="Q126" s="3">
        <v>46155</v>
      </c>
      <c r="R126" s="1" t="s">
        <v>357</v>
      </c>
      <c r="S126" s="10">
        <v>100</v>
      </c>
      <c r="T126" s="11">
        <v>3</v>
      </c>
      <c r="U126" s="11">
        <v>3</v>
      </c>
      <c r="V126" t="s">
        <v>464</v>
      </c>
    </row>
    <row r="127" spans="1:22" ht="15.75" thickBot="1" x14ac:dyDescent="0.3">
      <c r="A127" s="18" t="s">
        <v>155</v>
      </c>
      <c r="B127" s="1" t="s">
        <v>14</v>
      </c>
      <c r="C127" s="1" t="s">
        <v>94</v>
      </c>
      <c r="D127" s="1" t="s">
        <v>131</v>
      </c>
      <c r="E127" s="1" t="s">
        <v>25</v>
      </c>
      <c r="F127" s="1" t="s">
        <v>444</v>
      </c>
      <c r="G127" s="1" t="s">
        <v>124</v>
      </c>
      <c r="H127" s="1" t="s">
        <v>123</v>
      </c>
      <c r="I127" s="37" t="str">
        <f>VLOOKUP(Tbl_PctTrabajoPlanificado[[#This Row],[Orden mantenimiento]],Data!$E$2:$G$101,2,FALSE)</f>
        <v>C82</v>
      </c>
      <c r="J127" s="37" t="str" cm="1">
        <f t="array" ref="J127">_xlfn.IFS(I127="C81","Pl.Termoelec.Chuq.",I127="C82","Pl.Dist.Energ.Elec",I127="C89","Pl.Mant.Ind.Electr",I127="CO0","Concentradora A0",I127="CO1","Concentradora A1",I127="CO2","Concentradora A2",I127="CB1","SAE Centralizado",I127="C71","Pl.Maestranza.Cent",I127="C72","Pl.Calderería.Cent",I127="C74","CONTRATOS METALMEC",I127="C40","Planif. Refinería",I127="SAPCI","SAPCI",TRUE,"Código no encontrado")</f>
        <v>Pl.Dist.Energ.Elec</v>
      </c>
      <c r="K127" s="1" t="s">
        <v>360</v>
      </c>
      <c r="L127" s="1" t="s">
        <v>133</v>
      </c>
      <c r="M127" s="1" t="s">
        <v>164</v>
      </c>
      <c r="N127" s="1" t="s">
        <v>52</v>
      </c>
      <c r="O127" s="37">
        <f>Tbl_PctTrabajoPlanificado[[#This Row],[Fecha inicio real]]-Tbl_PctTrabajoPlanificado[[#This Row],[Fecha Libera Orden]]</f>
        <v>14</v>
      </c>
      <c r="P127" s="3">
        <v>46139</v>
      </c>
      <c r="Q127" s="3">
        <v>46153</v>
      </c>
      <c r="R127" s="1" t="s">
        <v>357</v>
      </c>
      <c r="S127" s="9">
        <v>100</v>
      </c>
      <c r="T127" s="7">
        <v>2</v>
      </c>
      <c r="U127" s="7">
        <v>2</v>
      </c>
      <c r="V127" t="s">
        <v>464</v>
      </c>
    </row>
    <row r="128" spans="1:22" ht="15.75" thickBot="1" x14ac:dyDescent="0.3">
      <c r="A128" s="18" t="s">
        <v>155</v>
      </c>
      <c r="B128" s="1" t="s">
        <v>14</v>
      </c>
      <c r="C128" s="1" t="s">
        <v>94</v>
      </c>
      <c r="D128" s="1" t="s">
        <v>131</v>
      </c>
      <c r="E128" s="1" t="s">
        <v>25</v>
      </c>
      <c r="F128" s="1" t="s">
        <v>444</v>
      </c>
      <c r="G128" s="1" t="s">
        <v>124</v>
      </c>
      <c r="H128" s="1" t="s">
        <v>123</v>
      </c>
      <c r="I128" s="37" t="str">
        <f>VLOOKUP(Tbl_PctTrabajoPlanificado[[#This Row],[Orden mantenimiento]],Data!$E$2:$G$101,2,FALSE)</f>
        <v>C82</v>
      </c>
      <c r="J128" s="37" t="str" cm="1">
        <f t="array" ref="J128">_xlfn.IFS(I128="C81","Pl.Termoelec.Chuq.",I128="C82","Pl.Dist.Energ.Elec",I128="C89","Pl.Mant.Ind.Electr",I128="CO0","Concentradora A0",I128="CO1","Concentradora A1",I128="CO2","Concentradora A2",I128="CB1","SAE Centralizado",I128="C71","Pl.Maestranza.Cent",I128="C72","Pl.Calderería.Cent",I128="C74","CONTRATOS METALMEC",I128="C40","Planif. Refinería",I128="SAPCI","SAPCI",TRUE,"Código no encontrado")</f>
        <v>Pl.Dist.Energ.Elec</v>
      </c>
      <c r="K128" s="1" t="s">
        <v>361</v>
      </c>
      <c r="L128" s="1" t="s">
        <v>135</v>
      </c>
      <c r="M128" s="1" t="s">
        <v>164</v>
      </c>
      <c r="N128" s="1" t="s">
        <v>52</v>
      </c>
      <c r="O128" s="37">
        <f>Tbl_PctTrabajoPlanificado[[#This Row],[Fecha inicio real]]-Tbl_PctTrabajoPlanificado[[#This Row],[Fecha Libera Orden]]</f>
        <v>14</v>
      </c>
      <c r="P128" s="3">
        <v>46139</v>
      </c>
      <c r="Q128" s="3">
        <v>46153</v>
      </c>
      <c r="R128" s="1" t="s">
        <v>357</v>
      </c>
      <c r="S128" s="10">
        <v>100</v>
      </c>
      <c r="T128" s="11">
        <v>2</v>
      </c>
      <c r="U128" s="11">
        <v>2</v>
      </c>
      <c r="V128" t="s">
        <v>464</v>
      </c>
    </row>
    <row r="129" spans="1:22" ht="15.75" thickBot="1" x14ac:dyDescent="0.3">
      <c r="A129" s="18" t="s">
        <v>155</v>
      </c>
      <c r="B129" s="1" t="s">
        <v>14</v>
      </c>
      <c r="C129" s="1" t="s">
        <v>94</v>
      </c>
      <c r="D129" s="1" t="s">
        <v>131</v>
      </c>
      <c r="E129" s="1" t="s">
        <v>25</v>
      </c>
      <c r="F129" s="1" t="s">
        <v>444</v>
      </c>
      <c r="G129" s="1" t="s">
        <v>124</v>
      </c>
      <c r="H129" s="1" t="s">
        <v>123</v>
      </c>
      <c r="I129" s="37" t="str">
        <f>VLOOKUP(Tbl_PctTrabajoPlanificado[[#This Row],[Orden mantenimiento]],Data!$E$2:$G$101,2,FALSE)</f>
        <v>C82</v>
      </c>
      <c r="J129" s="37" t="str" cm="1">
        <f t="array" ref="J129">_xlfn.IFS(I129="C81","Pl.Termoelec.Chuq.",I129="C82","Pl.Dist.Energ.Elec",I129="C89","Pl.Mant.Ind.Electr",I129="CO0","Concentradora A0",I129="CO1","Concentradora A1",I129="CO2","Concentradora A2",I129="CB1","SAE Centralizado",I129="C71","Pl.Maestranza.Cent",I129="C72","Pl.Calderería.Cent",I129="C74","CONTRATOS METALMEC",I129="C40","Planif. Refinería",I129="SAPCI","SAPCI",TRUE,"Código no encontrado")</f>
        <v>Pl.Dist.Energ.Elec</v>
      </c>
      <c r="K129" s="1" t="s">
        <v>362</v>
      </c>
      <c r="L129" s="1" t="s">
        <v>137</v>
      </c>
      <c r="M129" s="1" t="s">
        <v>164</v>
      </c>
      <c r="N129" s="1" t="s">
        <v>52</v>
      </c>
      <c r="O129" s="37">
        <f>Tbl_PctTrabajoPlanificado[[#This Row],[Fecha inicio real]]-Tbl_PctTrabajoPlanificado[[#This Row],[Fecha Libera Orden]]</f>
        <v>15</v>
      </c>
      <c r="P129" s="3">
        <v>46139</v>
      </c>
      <c r="Q129" s="3">
        <v>46154</v>
      </c>
      <c r="R129" s="1" t="s">
        <v>357</v>
      </c>
      <c r="S129" s="9">
        <v>100</v>
      </c>
      <c r="T129" s="7">
        <v>2</v>
      </c>
      <c r="U129" s="7">
        <v>2</v>
      </c>
      <c r="V129" t="s">
        <v>464</v>
      </c>
    </row>
    <row r="130" spans="1:22" ht="15.75" thickBot="1" x14ac:dyDescent="0.3">
      <c r="A130" s="18" t="s">
        <v>155</v>
      </c>
      <c r="B130" s="1" t="s">
        <v>14</v>
      </c>
      <c r="C130" s="1" t="s">
        <v>94</v>
      </c>
      <c r="D130" s="1" t="s">
        <v>131</v>
      </c>
      <c r="E130" s="1" t="s">
        <v>25</v>
      </c>
      <c r="F130" s="1" t="s">
        <v>444</v>
      </c>
      <c r="G130" s="1" t="s">
        <v>124</v>
      </c>
      <c r="H130" s="1" t="s">
        <v>123</v>
      </c>
      <c r="I130" s="37" t="str">
        <f>VLOOKUP(Tbl_PctTrabajoPlanificado[[#This Row],[Orden mantenimiento]],Data!$E$2:$G$101,2,FALSE)</f>
        <v>C82</v>
      </c>
      <c r="J130" s="37" t="str" cm="1">
        <f t="array" ref="J130">_xlfn.IFS(I130="C81","Pl.Termoelec.Chuq.",I130="C82","Pl.Dist.Energ.Elec",I130="C89","Pl.Mant.Ind.Electr",I130="CO0","Concentradora A0",I130="CO1","Concentradora A1",I130="CO2","Concentradora A2",I130="CB1","SAE Centralizado",I130="C71","Pl.Maestranza.Cent",I130="C72","Pl.Calderería.Cent",I130="C74","CONTRATOS METALMEC",I130="C40","Planif. Refinería",I130="SAPCI","SAPCI",TRUE,"Código no encontrado")</f>
        <v>Pl.Dist.Energ.Elec</v>
      </c>
      <c r="K130" s="1" t="s">
        <v>363</v>
      </c>
      <c r="L130" s="1" t="s">
        <v>139</v>
      </c>
      <c r="M130" s="1" t="s">
        <v>164</v>
      </c>
      <c r="N130" s="1" t="s">
        <v>52</v>
      </c>
      <c r="O130" s="37">
        <f>Tbl_PctTrabajoPlanificado[[#This Row],[Fecha inicio real]]-Tbl_PctTrabajoPlanificado[[#This Row],[Fecha Libera Orden]]</f>
        <v>15</v>
      </c>
      <c r="P130" s="3">
        <v>46139</v>
      </c>
      <c r="Q130" s="3">
        <v>46154</v>
      </c>
      <c r="R130" s="1" t="s">
        <v>357</v>
      </c>
      <c r="S130" s="10">
        <v>100</v>
      </c>
      <c r="T130" s="11">
        <v>2</v>
      </c>
      <c r="U130" s="11">
        <v>2</v>
      </c>
      <c r="V130" t="s">
        <v>464</v>
      </c>
    </row>
    <row r="131" spans="1:22" ht="15.75" thickBot="1" x14ac:dyDescent="0.3">
      <c r="A131" s="18" t="s">
        <v>155</v>
      </c>
      <c r="B131" s="1" t="s">
        <v>14</v>
      </c>
      <c r="C131" s="1" t="s">
        <v>94</v>
      </c>
      <c r="D131" s="1" t="s">
        <v>131</v>
      </c>
      <c r="E131" s="1" t="s">
        <v>25</v>
      </c>
      <c r="F131" s="1" t="s">
        <v>444</v>
      </c>
      <c r="G131" s="1" t="s">
        <v>124</v>
      </c>
      <c r="H131" s="1" t="s">
        <v>123</v>
      </c>
      <c r="I131" s="37" t="str">
        <f>VLOOKUP(Tbl_PctTrabajoPlanificado[[#This Row],[Orden mantenimiento]],Data!$E$2:$G$101,2,FALSE)</f>
        <v>C82</v>
      </c>
      <c r="J131" s="37" t="str" cm="1">
        <f t="array" ref="J131">_xlfn.IFS(I131="C81","Pl.Termoelec.Chuq.",I131="C82","Pl.Dist.Energ.Elec",I131="C89","Pl.Mant.Ind.Electr",I131="CO0","Concentradora A0",I131="CO1","Concentradora A1",I131="CO2","Concentradora A2",I131="CB1","SAE Centralizado",I131="C71","Pl.Maestranza.Cent",I131="C72","Pl.Calderería.Cent",I131="C74","CONTRATOS METALMEC",I131="C40","Planif. Refinería",I131="SAPCI","SAPCI",TRUE,"Código no encontrado")</f>
        <v>Pl.Dist.Energ.Elec</v>
      </c>
      <c r="K131" s="1" t="s">
        <v>364</v>
      </c>
      <c r="L131" s="1" t="s">
        <v>365</v>
      </c>
      <c r="M131" s="1" t="s">
        <v>164</v>
      </c>
      <c r="N131" s="1" t="s">
        <v>52</v>
      </c>
      <c r="O131" s="37">
        <f>Tbl_PctTrabajoPlanificado[[#This Row],[Fecha inicio real]]-Tbl_PctTrabajoPlanificado[[#This Row],[Fecha Libera Orden]]</f>
        <v>16</v>
      </c>
      <c r="P131" s="3">
        <v>46140</v>
      </c>
      <c r="Q131" s="3">
        <v>46156</v>
      </c>
      <c r="R131" s="1" t="s">
        <v>357</v>
      </c>
      <c r="S131" s="9">
        <v>100</v>
      </c>
      <c r="T131" s="7">
        <v>3</v>
      </c>
      <c r="U131" s="7">
        <v>3</v>
      </c>
      <c r="V131" t="s">
        <v>464</v>
      </c>
    </row>
    <row r="132" spans="1:22" ht="15.75" thickBot="1" x14ac:dyDescent="0.3">
      <c r="A132" s="18" t="s">
        <v>155</v>
      </c>
      <c r="B132" s="1" t="s">
        <v>14</v>
      </c>
      <c r="C132" s="1" t="s">
        <v>94</v>
      </c>
      <c r="D132" s="1" t="s">
        <v>131</v>
      </c>
      <c r="E132" s="1" t="s">
        <v>25</v>
      </c>
      <c r="F132" s="1" t="s">
        <v>444</v>
      </c>
      <c r="G132" s="1" t="s">
        <v>124</v>
      </c>
      <c r="H132" s="1" t="s">
        <v>123</v>
      </c>
      <c r="I132" s="37" t="str">
        <f>VLOOKUP(Tbl_PctTrabajoPlanificado[[#This Row],[Orden mantenimiento]],Data!$E$2:$G$101,2,FALSE)</f>
        <v>C82</v>
      </c>
      <c r="J132" s="37" t="str" cm="1">
        <f t="array" ref="J132">_xlfn.IFS(I132="C81","Pl.Termoelec.Chuq.",I132="C82","Pl.Dist.Energ.Elec",I132="C89","Pl.Mant.Ind.Electr",I132="CO0","Concentradora A0",I132="CO1","Concentradora A1",I132="CO2","Concentradora A2",I132="CB1","SAE Centralizado",I132="C71","Pl.Maestranza.Cent",I132="C72","Pl.Calderería.Cent",I132="C74","CONTRATOS METALMEC",I132="C40","Planif. Refinería",I132="SAPCI","SAPCI",TRUE,"Código no encontrado")</f>
        <v>Pl.Dist.Energ.Elec</v>
      </c>
      <c r="K132" s="1" t="s">
        <v>366</v>
      </c>
      <c r="L132" s="1" t="s">
        <v>367</v>
      </c>
      <c r="M132" s="1" t="s">
        <v>164</v>
      </c>
      <c r="N132" s="1" t="s">
        <v>52</v>
      </c>
      <c r="O132" s="37">
        <f>Tbl_PctTrabajoPlanificado[[#This Row],[Fecha inicio real]]-Tbl_PctTrabajoPlanificado[[#This Row],[Fecha Libera Orden]]</f>
        <v>15</v>
      </c>
      <c r="P132" s="3">
        <v>46140</v>
      </c>
      <c r="Q132" s="3">
        <v>46155</v>
      </c>
      <c r="R132" s="1" t="s">
        <v>357</v>
      </c>
      <c r="S132" s="10">
        <v>100</v>
      </c>
      <c r="T132" s="11">
        <v>3</v>
      </c>
      <c r="U132" s="11">
        <v>3</v>
      </c>
      <c r="V132" t="s">
        <v>464</v>
      </c>
    </row>
    <row r="133" spans="1:22" ht="15.75" thickBot="1" x14ac:dyDescent="0.3">
      <c r="A133" s="18" t="s">
        <v>155</v>
      </c>
      <c r="B133" s="1" t="s">
        <v>14</v>
      </c>
      <c r="C133" s="1" t="s">
        <v>94</v>
      </c>
      <c r="D133" s="1" t="s">
        <v>131</v>
      </c>
      <c r="E133" s="1" t="s">
        <v>25</v>
      </c>
      <c r="F133" s="1" t="s">
        <v>444</v>
      </c>
      <c r="G133" s="1" t="s">
        <v>124</v>
      </c>
      <c r="H133" s="1" t="s">
        <v>123</v>
      </c>
      <c r="I133" s="37" t="str">
        <f>VLOOKUP(Tbl_PctTrabajoPlanificado[[#This Row],[Orden mantenimiento]],Data!$E$2:$G$101,2,FALSE)</f>
        <v>C82</v>
      </c>
      <c r="J133" s="37" t="str" cm="1">
        <f t="array" ref="J133">_xlfn.IFS(I133="C81","Pl.Termoelec.Chuq.",I133="C82","Pl.Dist.Energ.Elec",I133="C89","Pl.Mant.Ind.Electr",I133="CO0","Concentradora A0",I133="CO1","Concentradora A1",I133="CO2","Concentradora A2",I133="CB1","SAE Centralizado",I133="C71","Pl.Maestranza.Cent",I133="C72","Pl.Calderería.Cent",I133="C74","CONTRATOS METALMEC",I133="C40","Planif. Refinería",I133="SAPCI","SAPCI",TRUE,"Código no encontrado")</f>
        <v>Pl.Dist.Energ.Elec</v>
      </c>
      <c r="K133" s="1" t="s">
        <v>368</v>
      </c>
      <c r="L133" s="1" t="s">
        <v>369</v>
      </c>
      <c r="M133" s="1" t="s">
        <v>164</v>
      </c>
      <c r="N133" s="1" t="s">
        <v>52</v>
      </c>
      <c r="O133" s="37">
        <f>Tbl_PctTrabajoPlanificado[[#This Row],[Fecha inicio real]]-Tbl_PctTrabajoPlanificado[[#This Row],[Fecha Libera Orden]]</f>
        <v>14</v>
      </c>
      <c r="P133" s="3">
        <v>46140</v>
      </c>
      <c r="Q133" s="3">
        <v>46154</v>
      </c>
      <c r="R133" s="1" t="s">
        <v>357</v>
      </c>
      <c r="S133" s="9">
        <v>100</v>
      </c>
      <c r="T133" s="7">
        <v>3</v>
      </c>
      <c r="U133" s="7">
        <v>3</v>
      </c>
      <c r="V133" t="s">
        <v>464</v>
      </c>
    </row>
    <row r="134" spans="1:22" ht="15.75" thickBot="1" x14ac:dyDescent="0.3">
      <c r="A134" s="18" t="s">
        <v>155</v>
      </c>
      <c r="B134" s="1" t="s">
        <v>14</v>
      </c>
      <c r="C134" s="1" t="s">
        <v>94</v>
      </c>
      <c r="D134" s="1" t="s">
        <v>131</v>
      </c>
      <c r="E134" s="1" t="s">
        <v>25</v>
      </c>
      <c r="F134" s="1" t="s">
        <v>444</v>
      </c>
      <c r="G134" s="1" t="s">
        <v>124</v>
      </c>
      <c r="H134" s="1" t="s">
        <v>123</v>
      </c>
      <c r="I134" s="37" t="str">
        <f>VLOOKUP(Tbl_PctTrabajoPlanificado[[#This Row],[Orden mantenimiento]],Data!$E$2:$G$101,2,FALSE)</f>
        <v>C82</v>
      </c>
      <c r="J134" s="37" t="str" cm="1">
        <f t="array" ref="J134">_xlfn.IFS(I134="C81","Pl.Termoelec.Chuq.",I134="C82","Pl.Dist.Energ.Elec",I134="C89","Pl.Mant.Ind.Electr",I134="CO0","Concentradora A0",I134="CO1","Concentradora A1",I134="CO2","Concentradora A2",I134="CB1","SAE Centralizado",I134="C71","Pl.Maestranza.Cent",I134="C72","Pl.Calderería.Cent",I134="C74","CONTRATOS METALMEC",I134="C40","Planif. Refinería",I134="SAPCI","SAPCI",TRUE,"Código no encontrado")</f>
        <v>Pl.Dist.Energ.Elec</v>
      </c>
      <c r="K134" s="1" t="s">
        <v>370</v>
      </c>
      <c r="L134" s="1" t="s">
        <v>371</v>
      </c>
      <c r="M134" s="1" t="s">
        <v>164</v>
      </c>
      <c r="N134" s="1" t="s">
        <v>52</v>
      </c>
      <c r="O134" s="37">
        <f>Tbl_PctTrabajoPlanificado[[#This Row],[Fecha inicio real]]-Tbl_PctTrabajoPlanificado[[#This Row],[Fecha Libera Orden]]</f>
        <v>15</v>
      </c>
      <c r="P134" s="3">
        <v>46140</v>
      </c>
      <c r="Q134" s="3">
        <v>46155</v>
      </c>
      <c r="R134" s="1" t="s">
        <v>357</v>
      </c>
      <c r="S134" s="10">
        <v>100</v>
      </c>
      <c r="T134" s="11">
        <v>3</v>
      </c>
      <c r="U134" s="11">
        <v>3</v>
      </c>
      <c r="V134" t="s">
        <v>464</v>
      </c>
    </row>
    <row r="135" spans="1:22" ht="15.75" thickBot="1" x14ac:dyDescent="0.3">
      <c r="A135" s="18" t="s">
        <v>155</v>
      </c>
      <c r="B135" s="1" t="s">
        <v>14</v>
      </c>
      <c r="C135" s="1" t="s">
        <v>94</v>
      </c>
      <c r="D135" s="1" t="s">
        <v>131</v>
      </c>
      <c r="E135" s="1" t="s">
        <v>25</v>
      </c>
      <c r="F135" s="1" t="s">
        <v>444</v>
      </c>
      <c r="G135" s="1" t="s">
        <v>124</v>
      </c>
      <c r="H135" s="1" t="s">
        <v>123</v>
      </c>
      <c r="I135" s="37" t="str">
        <f>VLOOKUP(Tbl_PctTrabajoPlanificado[[#This Row],[Orden mantenimiento]],Data!$E$2:$G$101,2,FALSE)</f>
        <v>C82</v>
      </c>
      <c r="J135" s="37" t="str" cm="1">
        <f t="array" ref="J135">_xlfn.IFS(I135="C81","Pl.Termoelec.Chuq.",I135="C82","Pl.Dist.Energ.Elec",I135="C89","Pl.Mant.Ind.Electr",I135="CO0","Concentradora A0",I135="CO1","Concentradora A1",I135="CO2","Concentradora A2",I135="CB1","SAE Centralizado",I135="C71","Pl.Maestranza.Cent",I135="C72","Pl.Calderería.Cent",I135="C74","CONTRATOS METALMEC",I135="C40","Planif. Refinería",I135="SAPCI","SAPCI",TRUE,"Código no encontrado")</f>
        <v>Pl.Dist.Energ.Elec</v>
      </c>
      <c r="K135" s="1" t="s">
        <v>372</v>
      </c>
      <c r="L135" s="1" t="s">
        <v>373</v>
      </c>
      <c r="M135" s="1" t="s">
        <v>164</v>
      </c>
      <c r="N135" s="1" t="s">
        <v>52</v>
      </c>
      <c r="O135" s="37">
        <f>Tbl_PctTrabajoPlanificado[[#This Row],[Fecha inicio real]]-Tbl_PctTrabajoPlanificado[[#This Row],[Fecha Libera Orden]]</f>
        <v>16</v>
      </c>
      <c r="P135" s="3">
        <v>46140</v>
      </c>
      <c r="Q135" s="3">
        <v>46156</v>
      </c>
      <c r="R135" s="1" t="s">
        <v>357</v>
      </c>
      <c r="S135" s="9">
        <v>100</v>
      </c>
      <c r="T135" s="7">
        <v>3</v>
      </c>
      <c r="U135" s="7">
        <v>3</v>
      </c>
      <c r="V135" t="s">
        <v>464</v>
      </c>
    </row>
    <row r="136" spans="1:22" ht="15.75" thickBot="1" x14ac:dyDescent="0.3">
      <c r="A136" s="18" t="s">
        <v>155</v>
      </c>
      <c r="B136" s="1" t="s">
        <v>14</v>
      </c>
      <c r="C136" s="1" t="s">
        <v>94</v>
      </c>
      <c r="D136" s="1" t="s">
        <v>131</v>
      </c>
      <c r="E136" s="1" t="s">
        <v>25</v>
      </c>
      <c r="F136" s="1" t="s">
        <v>444</v>
      </c>
      <c r="G136" s="1" t="s">
        <v>124</v>
      </c>
      <c r="H136" s="1" t="s">
        <v>123</v>
      </c>
      <c r="I136" s="37" t="str">
        <f>VLOOKUP(Tbl_PctTrabajoPlanificado[[#This Row],[Orden mantenimiento]],Data!$E$2:$G$101,2,FALSE)</f>
        <v>C82</v>
      </c>
      <c r="J136" s="37" t="str" cm="1">
        <f t="array" ref="J136">_xlfn.IFS(I136="C81","Pl.Termoelec.Chuq.",I136="C82","Pl.Dist.Energ.Elec",I136="C89","Pl.Mant.Ind.Electr",I136="CO0","Concentradora A0",I136="CO1","Concentradora A1",I136="CO2","Concentradora A2",I136="CB1","SAE Centralizado",I136="C71","Pl.Maestranza.Cent",I136="C72","Pl.Calderería.Cent",I136="C74","CONTRATOS METALMEC",I136="C40","Planif. Refinería",I136="SAPCI","SAPCI",TRUE,"Código no encontrado")</f>
        <v>Pl.Dist.Energ.Elec</v>
      </c>
      <c r="K136" s="1" t="s">
        <v>374</v>
      </c>
      <c r="L136" s="1" t="s">
        <v>375</v>
      </c>
      <c r="M136" s="1" t="s">
        <v>164</v>
      </c>
      <c r="N136" s="1" t="s">
        <v>52</v>
      </c>
      <c r="O136" s="37">
        <f>Tbl_PctTrabajoPlanificado[[#This Row],[Fecha inicio real]]-Tbl_PctTrabajoPlanificado[[#This Row],[Fecha Libera Orden]]</f>
        <v>16</v>
      </c>
      <c r="P136" s="3">
        <v>46140</v>
      </c>
      <c r="Q136" s="3">
        <v>46156</v>
      </c>
      <c r="R136" s="1" t="s">
        <v>357</v>
      </c>
      <c r="S136" s="10">
        <v>100</v>
      </c>
      <c r="T136" s="11">
        <v>3</v>
      </c>
      <c r="U136" s="11">
        <v>3</v>
      </c>
      <c r="V136" t="s">
        <v>464</v>
      </c>
    </row>
    <row r="137" spans="1:22" ht="15.75" thickBot="1" x14ac:dyDescent="0.3">
      <c r="A137" s="18" t="s">
        <v>155</v>
      </c>
      <c r="B137" s="1" t="s">
        <v>14</v>
      </c>
      <c r="C137" s="1" t="s">
        <v>94</v>
      </c>
      <c r="D137" s="1" t="s">
        <v>376</v>
      </c>
      <c r="E137" s="1" t="s">
        <v>56</v>
      </c>
      <c r="F137" s="1" t="s">
        <v>450</v>
      </c>
      <c r="G137" s="1" t="s">
        <v>100</v>
      </c>
      <c r="H137" s="1" t="s">
        <v>99</v>
      </c>
      <c r="I137" s="37" t="str">
        <f>VLOOKUP(Tbl_PctTrabajoPlanificado[[#This Row],[Orden mantenimiento]],Data!$E$2:$G$101,2,FALSE)</f>
        <v>C81</v>
      </c>
      <c r="J137" s="37" t="str" cm="1">
        <f t="array" ref="J137">_xlfn.IFS(I137="C81","Pl.Termoelec.Chuq.",I137="C82","Pl.Dist.Energ.Elec",I137="C89","Pl.Mant.Ind.Electr",I137="CO0","Concentradora A0",I137="CO1","Concentradora A1",I137="CO2","Concentradora A2",I137="CB1","SAE Centralizado",I137="C71","Pl.Maestranza.Cent",I137="C72","Pl.Calderería.Cent",I137="C74","CONTRATOS METALMEC",I137="C40","Planif. Refinería",I137="SAPCI","SAPCI",TRUE,"Código no encontrado")</f>
        <v>Pl.Termoelec.Chuq.</v>
      </c>
      <c r="K137" s="1" t="s">
        <v>377</v>
      </c>
      <c r="L137" s="1" t="s">
        <v>378</v>
      </c>
      <c r="M137" s="1" t="s">
        <v>174</v>
      </c>
      <c r="N137" s="1" t="s">
        <v>52</v>
      </c>
      <c r="O137" s="37">
        <f>Tbl_PctTrabajoPlanificado[[#This Row],[Fecha inicio real]]-Tbl_PctTrabajoPlanificado[[#This Row],[Fecha Libera Orden]]</f>
        <v>63</v>
      </c>
      <c r="P137" s="3">
        <v>46093</v>
      </c>
      <c r="Q137" s="3">
        <v>46156</v>
      </c>
      <c r="R137" s="1" t="s">
        <v>379</v>
      </c>
      <c r="S137" s="9">
        <v>100</v>
      </c>
      <c r="T137" s="7">
        <v>1</v>
      </c>
      <c r="U137" s="7">
        <v>1</v>
      </c>
      <c r="V137" t="s">
        <v>464</v>
      </c>
    </row>
    <row r="138" spans="1:22" ht="15.75" thickBot="1" x14ac:dyDescent="0.3">
      <c r="A138" s="18" t="s">
        <v>155</v>
      </c>
      <c r="B138" s="1" t="s">
        <v>14</v>
      </c>
      <c r="C138" s="1" t="s">
        <v>94</v>
      </c>
      <c r="D138" s="1" t="s">
        <v>376</v>
      </c>
      <c r="E138" s="1" t="s">
        <v>56</v>
      </c>
      <c r="F138" s="1" t="s">
        <v>450</v>
      </c>
      <c r="G138" s="1" t="s">
        <v>100</v>
      </c>
      <c r="H138" s="1" t="s">
        <v>99</v>
      </c>
      <c r="I138" s="37" t="str">
        <f>VLOOKUP(Tbl_PctTrabajoPlanificado[[#This Row],[Orden mantenimiento]],Data!$E$2:$G$101,2,FALSE)</f>
        <v>C81</v>
      </c>
      <c r="J138" s="37" t="str" cm="1">
        <f t="array" ref="J138">_xlfn.IFS(I138="C81","Pl.Termoelec.Chuq.",I138="C82","Pl.Dist.Energ.Elec",I138="C89","Pl.Mant.Ind.Electr",I138="CO0","Concentradora A0",I138="CO1","Concentradora A1",I138="CO2","Concentradora A2",I138="CB1","SAE Centralizado",I138="C71","Pl.Maestranza.Cent",I138="C72","Pl.Calderería.Cent",I138="C74","CONTRATOS METALMEC",I138="C40","Planif. Refinería",I138="SAPCI","SAPCI",TRUE,"Código no encontrado")</f>
        <v>Pl.Termoelec.Chuq.</v>
      </c>
      <c r="K138" s="1" t="s">
        <v>380</v>
      </c>
      <c r="L138" s="1" t="s">
        <v>381</v>
      </c>
      <c r="M138" s="1" t="s">
        <v>174</v>
      </c>
      <c r="N138" s="1" t="s">
        <v>52</v>
      </c>
      <c r="O138" s="37">
        <f>Tbl_PctTrabajoPlanificado[[#This Row],[Fecha inicio real]]-Tbl_PctTrabajoPlanificado[[#This Row],[Fecha Libera Orden]]</f>
        <v>63</v>
      </c>
      <c r="P138" s="3">
        <v>46093</v>
      </c>
      <c r="Q138" s="3">
        <v>46156</v>
      </c>
      <c r="R138" s="1" t="s">
        <v>379</v>
      </c>
      <c r="S138" s="10">
        <v>100</v>
      </c>
      <c r="T138" s="11">
        <v>1</v>
      </c>
      <c r="U138" s="11">
        <v>1</v>
      </c>
      <c r="V138" t="s">
        <v>464</v>
      </c>
    </row>
    <row r="139" spans="1:22" ht="15.75" thickBot="1" x14ac:dyDescent="0.3">
      <c r="A139" s="18" t="s">
        <v>155</v>
      </c>
      <c r="B139" s="1" t="s">
        <v>14</v>
      </c>
      <c r="C139" s="1" t="s">
        <v>94</v>
      </c>
      <c r="D139" s="1" t="s">
        <v>376</v>
      </c>
      <c r="E139" s="1" t="s">
        <v>56</v>
      </c>
      <c r="F139" s="1" t="s">
        <v>450</v>
      </c>
      <c r="G139" s="1" t="s">
        <v>100</v>
      </c>
      <c r="H139" s="1" t="s">
        <v>99</v>
      </c>
      <c r="I139" s="37" t="str">
        <f>VLOOKUP(Tbl_PctTrabajoPlanificado[[#This Row],[Orden mantenimiento]],Data!$E$2:$G$101,2,FALSE)</f>
        <v>C81</v>
      </c>
      <c r="J139" s="37" t="str" cm="1">
        <f t="array" ref="J139">_xlfn.IFS(I139="C81","Pl.Termoelec.Chuq.",I139="C82","Pl.Dist.Energ.Elec",I139="C89","Pl.Mant.Ind.Electr",I139="CO0","Concentradora A0",I139="CO1","Concentradora A1",I139="CO2","Concentradora A2",I139="CB1","SAE Centralizado",I139="C71","Pl.Maestranza.Cent",I139="C72","Pl.Calderería.Cent",I139="C74","CONTRATOS METALMEC",I139="C40","Planif. Refinería",I139="SAPCI","SAPCI",TRUE,"Código no encontrado")</f>
        <v>Pl.Termoelec.Chuq.</v>
      </c>
      <c r="K139" s="1" t="s">
        <v>382</v>
      </c>
      <c r="L139" s="1" t="s">
        <v>383</v>
      </c>
      <c r="M139" s="1" t="s">
        <v>174</v>
      </c>
      <c r="N139" s="1" t="s">
        <v>52</v>
      </c>
      <c r="O139" s="37">
        <f>Tbl_PctTrabajoPlanificado[[#This Row],[Fecha inicio real]]-Tbl_PctTrabajoPlanificado[[#This Row],[Fecha Libera Orden]]</f>
        <v>11</v>
      </c>
      <c r="P139" s="3">
        <v>46145</v>
      </c>
      <c r="Q139" s="3">
        <v>46156</v>
      </c>
      <c r="R139" s="1" t="s">
        <v>379</v>
      </c>
      <c r="S139" s="9">
        <v>100</v>
      </c>
      <c r="T139" s="7">
        <v>1</v>
      </c>
      <c r="U139" s="7">
        <v>1</v>
      </c>
      <c r="V139" t="s">
        <v>464</v>
      </c>
    </row>
    <row r="140" spans="1:22" ht="15.75" thickBot="1" x14ac:dyDescent="0.3">
      <c r="A140" s="18" t="s">
        <v>155</v>
      </c>
      <c r="B140" s="1" t="s">
        <v>14</v>
      </c>
      <c r="C140" s="1" t="s">
        <v>94</v>
      </c>
      <c r="D140" s="1" t="s">
        <v>376</v>
      </c>
      <c r="E140" s="1" t="s">
        <v>56</v>
      </c>
      <c r="F140" s="1" t="s">
        <v>450</v>
      </c>
      <c r="G140" s="1" t="s">
        <v>100</v>
      </c>
      <c r="H140" s="1" t="s">
        <v>99</v>
      </c>
      <c r="I140" s="37" t="str">
        <f>VLOOKUP(Tbl_PctTrabajoPlanificado[[#This Row],[Orden mantenimiento]],Data!$E$2:$G$101,2,FALSE)</f>
        <v>C81</v>
      </c>
      <c r="J140" s="37" t="str" cm="1">
        <f t="array" ref="J140">_xlfn.IFS(I140="C81","Pl.Termoelec.Chuq.",I140="C82","Pl.Dist.Energ.Elec",I140="C89","Pl.Mant.Ind.Electr",I140="CO0","Concentradora A0",I140="CO1","Concentradora A1",I140="CO2","Concentradora A2",I140="CB1","SAE Centralizado",I140="C71","Pl.Maestranza.Cent",I140="C72","Pl.Calderería.Cent",I140="C74","CONTRATOS METALMEC",I140="C40","Planif. Refinería",I140="SAPCI","SAPCI",TRUE,"Código no encontrado")</f>
        <v>Pl.Termoelec.Chuq.</v>
      </c>
      <c r="K140" s="1" t="s">
        <v>384</v>
      </c>
      <c r="L140" s="1" t="s">
        <v>385</v>
      </c>
      <c r="M140" s="1" t="s">
        <v>174</v>
      </c>
      <c r="N140" s="1" t="s">
        <v>52</v>
      </c>
      <c r="O140" s="37">
        <f>Tbl_PctTrabajoPlanificado[[#This Row],[Fecha inicio real]]-Tbl_PctTrabajoPlanificado[[#This Row],[Fecha Libera Orden]]</f>
        <v>11</v>
      </c>
      <c r="P140" s="3">
        <v>46145</v>
      </c>
      <c r="Q140" s="3">
        <v>46156</v>
      </c>
      <c r="R140" s="1" t="s">
        <v>379</v>
      </c>
      <c r="S140" s="10">
        <v>100</v>
      </c>
      <c r="T140" s="11">
        <v>1</v>
      </c>
      <c r="U140" s="11">
        <v>1</v>
      </c>
      <c r="V140" t="s">
        <v>464</v>
      </c>
    </row>
    <row r="141" spans="1:22" ht="15.75" thickBot="1" x14ac:dyDescent="0.3">
      <c r="A141" s="18" t="s">
        <v>155</v>
      </c>
      <c r="B141" s="1" t="s">
        <v>14</v>
      </c>
      <c r="C141" s="1" t="s">
        <v>94</v>
      </c>
      <c r="D141" s="1" t="s">
        <v>376</v>
      </c>
      <c r="E141" s="1" t="s">
        <v>25</v>
      </c>
      <c r="F141" s="1" t="s">
        <v>444</v>
      </c>
      <c r="G141" s="1" t="s">
        <v>100</v>
      </c>
      <c r="H141" s="1" t="s">
        <v>99</v>
      </c>
      <c r="I141" s="37" t="str">
        <f>VLOOKUP(Tbl_PctTrabajoPlanificado[[#This Row],[Orden mantenimiento]],Data!$E$2:$G$101,2,FALSE)</f>
        <v>C82</v>
      </c>
      <c r="J141" s="37" t="str" cm="1">
        <f t="array" ref="J141">_xlfn.IFS(I141="C81","Pl.Termoelec.Chuq.",I141="C82","Pl.Dist.Energ.Elec",I141="C89","Pl.Mant.Ind.Electr",I141="CO0","Concentradora A0",I141="CO1","Concentradora A1",I141="CO2","Concentradora A2",I141="CB1","SAE Centralizado",I141="C71","Pl.Maestranza.Cent",I141="C72","Pl.Calderería.Cent",I141="C74","CONTRATOS METALMEC",I141="C40","Planif. Refinería",I141="SAPCI","SAPCI",TRUE,"Código no encontrado")</f>
        <v>Pl.Dist.Energ.Elec</v>
      </c>
      <c r="K141" s="1" t="s">
        <v>386</v>
      </c>
      <c r="L141" s="1" t="s">
        <v>387</v>
      </c>
      <c r="M141" s="1" t="s">
        <v>164</v>
      </c>
      <c r="N141" s="1" t="s">
        <v>52</v>
      </c>
      <c r="O141" s="37">
        <f>Tbl_PctTrabajoPlanificado[[#This Row],[Fecha inicio real]]-Tbl_PctTrabajoPlanificado[[#This Row],[Fecha Libera Orden]]</f>
        <v>8</v>
      </c>
      <c r="P141" s="3">
        <v>46147</v>
      </c>
      <c r="Q141" s="3">
        <v>46155</v>
      </c>
      <c r="R141" s="1" t="s">
        <v>183</v>
      </c>
      <c r="S141" s="9">
        <v>100</v>
      </c>
      <c r="T141" s="7">
        <v>6</v>
      </c>
      <c r="U141" s="7">
        <v>6</v>
      </c>
      <c r="V141" t="s">
        <v>464</v>
      </c>
    </row>
    <row r="142" spans="1:22" ht="15.75" thickBot="1" x14ac:dyDescent="0.3">
      <c r="A142" s="18" t="s">
        <v>155</v>
      </c>
      <c r="B142" s="1" t="s">
        <v>14</v>
      </c>
      <c r="C142" s="1" t="s">
        <v>94</v>
      </c>
      <c r="D142" s="1" t="s">
        <v>376</v>
      </c>
      <c r="E142" s="1" t="s">
        <v>25</v>
      </c>
      <c r="F142" s="1" t="s">
        <v>444</v>
      </c>
      <c r="G142" s="1" t="s">
        <v>100</v>
      </c>
      <c r="H142" s="1" t="s">
        <v>99</v>
      </c>
      <c r="I142" s="37" t="str">
        <f>VLOOKUP(Tbl_PctTrabajoPlanificado[[#This Row],[Orden mantenimiento]],Data!$E$2:$G$101,2,FALSE)</f>
        <v>C82</v>
      </c>
      <c r="J142" s="37" t="str" cm="1">
        <f t="array" ref="J142">_xlfn.IFS(I142="C81","Pl.Termoelec.Chuq.",I142="C82","Pl.Dist.Energ.Elec",I142="C89","Pl.Mant.Ind.Electr",I142="CO0","Concentradora A0",I142="CO1","Concentradora A1",I142="CO2","Concentradora A2",I142="CB1","SAE Centralizado",I142="C71","Pl.Maestranza.Cent",I142="C72","Pl.Calderería.Cent",I142="C74","CONTRATOS METALMEC",I142="C40","Planif. Refinería",I142="SAPCI","SAPCI",TRUE,"Código no encontrado")</f>
        <v>Pl.Dist.Energ.Elec</v>
      </c>
      <c r="K142" s="1" t="s">
        <v>388</v>
      </c>
      <c r="L142" s="1" t="s">
        <v>389</v>
      </c>
      <c r="M142" s="1" t="s">
        <v>164</v>
      </c>
      <c r="N142" s="1" t="s">
        <v>52</v>
      </c>
      <c r="O142" s="37">
        <f>Tbl_PctTrabajoPlanificado[[#This Row],[Fecha inicio real]]-Tbl_PctTrabajoPlanificado[[#This Row],[Fecha Libera Orden]]</f>
        <v>8</v>
      </c>
      <c r="P142" s="3">
        <v>46147</v>
      </c>
      <c r="Q142" s="3">
        <v>46155</v>
      </c>
      <c r="R142" s="1" t="s">
        <v>183</v>
      </c>
      <c r="S142" s="10">
        <v>100</v>
      </c>
      <c r="T142" s="11">
        <v>6</v>
      </c>
      <c r="U142" s="11">
        <v>6</v>
      </c>
      <c r="V142" t="s">
        <v>464</v>
      </c>
    </row>
    <row r="143" spans="1:22" ht="15.75" thickBot="1" x14ac:dyDescent="0.3">
      <c r="A143" s="18" t="s">
        <v>155</v>
      </c>
      <c r="B143" s="1" t="s">
        <v>14</v>
      </c>
      <c r="C143" s="1" t="s">
        <v>94</v>
      </c>
      <c r="D143" s="1" t="s">
        <v>376</v>
      </c>
      <c r="E143" s="1" t="s">
        <v>25</v>
      </c>
      <c r="F143" s="1" t="s">
        <v>444</v>
      </c>
      <c r="G143" s="1" t="s">
        <v>100</v>
      </c>
      <c r="H143" s="1" t="s">
        <v>99</v>
      </c>
      <c r="I143" s="37" t="str">
        <f>VLOOKUP(Tbl_PctTrabajoPlanificado[[#This Row],[Orden mantenimiento]],Data!$E$2:$G$101,2,FALSE)</f>
        <v>C82</v>
      </c>
      <c r="J143" s="37" t="str" cm="1">
        <f t="array" ref="J143">_xlfn.IFS(I143="C81","Pl.Termoelec.Chuq.",I143="C82","Pl.Dist.Energ.Elec",I143="C89","Pl.Mant.Ind.Electr",I143="CO0","Concentradora A0",I143="CO1","Concentradora A1",I143="CO2","Concentradora A2",I143="CB1","SAE Centralizado",I143="C71","Pl.Maestranza.Cent",I143="C72","Pl.Calderería.Cent",I143="C74","CONTRATOS METALMEC",I143="C40","Planif. Refinería",I143="SAPCI","SAPCI",TRUE,"Código no encontrado")</f>
        <v>Pl.Dist.Energ.Elec</v>
      </c>
      <c r="K143" s="1" t="s">
        <v>390</v>
      </c>
      <c r="L143" s="1" t="s">
        <v>391</v>
      </c>
      <c r="M143" s="1" t="s">
        <v>164</v>
      </c>
      <c r="N143" s="1" t="s">
        <v>52</v>
      </c>
      <c r="O143" s="37">
        <f>Tbl_PctTrabajoPlanificado[[#This Row],[Fecha inicio real]]-Tbl_PctTrabajoPlanificado[[#This Row],[Fecha Libera Orden]]</f>
        <v>8</v>
      </c>
      <c r="P143" s="3">
        <v>46147</v>
      </c>
      <c r="Q143" s="3">
        <v>46155</v>
      </c>
      <c r="R143" s="1" t="s">
        <v>183</v>
      </c>
      <c r="S143" s="9">
        <v>100</v>
      </c>
      <c r="T143" s="7">
        <v>6</v>
      </c>
      <c r="U143" s="7">
        <v>6</v>
      </c>
      <c r="V143" t="s">
        <v>464</v>
      </c>
    </row>
    <row r="144" spans="1:22" ht="15.75" thickBot="1" x14ac:dyDescent="0.3">
      <c r="A144" s="18" t="s">
        <v>155</v>
      </c>
      <c r="B144" s="1" t="s">
        <v>14</v>
      </c>
      <c r="C144" s="1" t="s">
        <v>94</v>
      </c>
      <c r="D144" s="1" t="s">
        <v>376</v>
      </c>
      <c r="E144" s="1" t="s">
        <v>25</v>
      </c>
      <c r="F144" s="1" t="s">
        <v>444</v>
      </c>
      <c r="G144" s="1" t="s">
        <v>100</v>
      </c>
      <c r="H144" s="1" t="s">
        <v>99</v>
      </c>
      <c r="I144" s="37" t="str">
        <f>VLOOKUP(Tbl_PctTrabajoPlanificado[[#This Row],[Orden mantenimiento]],Data!$E$2:$G$101,2,FALSE)</f>
        <v>C82</v>
      </c>
      <c r="J144" s="37" t="str" cm="1">
        <f t="array" ref="J144">_xlfn.IFS(I144="C81","Pl.Termoelec.Chuq.",I144="C82","Pl.Dist.Energ.Elec",I144="C89","Pl.Mant.Ind.Electr",I144="CO0","Concentradora A0",I144="CO1","Concentradora A1",I144="CO2","Concentradora A2",I144="CB1","SAE Centralizado",I144="C71","Pl.Maestranza.Cent",I144="C72","Pl.Calderería.Cent",I144="C74","CONTRATOS METALMEC",I144="C40","Planif. Refinería",I144="SAPCI","SAPCI",TRUE,"Código no encontrado")</f>
        <v>Pl.Dist.Energ.Elec</v>
      </c>
      <c r="K144" s="1" t="s">
        <v>392</v>
      </c>
      <c r="L144" s="1" t="s">
        <v>393</v>
      </c>
      <c r="M144" s="1" t="s">
        <v>164</v>
      </c>
      <c r="N144" s="1" t="s">
        <v>52</v>
      </c>
      <c r="O144" s="37">
        <f>Tbl_PctTrabajoPlanificado[[#This Row],[Fecha inicio real]]-Tbl_PctTrabajoPlanificado[[#This Row],[Fecha Libera Orden]]</f>
        <v>9</v>
      </c>
      <c r="P144" s="3">
        <v>46147</v>
      </c>
      <c r="Q144" s="3">
        <v>46156</v>
      </c>
      <c r="R144" s="1" t="s">
        <v>183</v>
      </c>
      <c r="S144" s="10">
        <v>100</v>
      </c>
      <c r="T144" s="11">
        <v>6</v>
      </c>
      <c r="U144" s="11">
        <v>6</v>
      </c>
      <c r="V144" t="s">
        <v>464</v>
      </c>
    </row>
    <row r="145" spans="1:21" ht="15.75" thickBot="1" x14ac:dyDescent="0.3">
      <c r="A145" s="14" t="s">
        <v>41</v>
      </c>
      <c r="B145" s="14"/>
      <c r="C145" s="14"/>
      <c r="D145" s="14"/>
      <c r="E145" s="14"/>
      <c r="F145" s="14"/>
      <c r="G145" s="14"/>
      <c r="H145" s="14"/>
      <c r="I145" s="38"/>
      <c r="J145" s="38"/>
      <c r="K145" s="14"/>
      <c r="L145" s="14"/>
      <c r="M145" s="14"/>
      <c r="N145" s="14"/>
      <c r="O145" s="38">
        <f>Tbl_PctTrabajoPlanificado[[#This Row],[Fecha inicio real]]-Tbl_PctTrabajoPlanificado[[#This Row],[Fecha Libera Orden]]</f>
        <v>0</v>
      </c>
      <c r="P145" s="14"/>
      <c r="Q145" s="14"/>
      <c r="R145" s="15"/>
      <c r="S145" s="13">
        <v>90.215061199087202</v>
      </c>
      <c r="T145" s="8">
        <v>1304.5999999999999</v>
      </c>
      <c r="U145" s="8">
        <v>1446.1</v>
      </c>
    </row>
    <row r="155" spans="1:21" x14ac:dyDescent="0.25">
      <c r="C155" t="s">
        <v>459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73CA-6FEA-4FEB-A8F1-F553FF44A8C7}">
  <dimension ref="A1:R121"/>
  <sheetViews>
    <sheetView topLeftCell="F1" workbookViewId="0"/>
  </sheetViews>
  <sheetFormatPr baseColWidth="10" defaultRowHeight="15" x14ac:dyDescent="0.25"/>
  <cols>
    <col min="1" max="1" width="43.140625" customWidth="1"/>
    <col min="2" max="2" width="12.28515625" customWidth="1"/>
    <col min="3" max="3" width="15.28515625" customWidth="1"/>
    <col min="4" max="4" width="22.140625" customWidth="1"/>
    <col min="5" max="5" width="26.140625" customWidth="1"/>
    <col min="6" max="6" width="23.5703125" customWidth="1"/>
    <col min="7" max="7" width="34.7109375" customWidth="1"/>
    <col min="8" max="8" width="13.5703125" customWidth="1"/>
    <col min="9" max="9" width="16.7109375" customWidth="1"/>
    <col min="10" max="11" width="13.28515625" customWidth="1"/>
    <col min="12" max="12" width="37.28515625" customWidth="1"/>
    <col min="13" max="13" width="13.28515625" customWidth="1"/>
    <col min="14" max="14" width="28.5703125" customWidth="1"/>
    <col min="15" max="15" width="29.7109375" customWidth="1"/>
    <col min="16" max="16" width="20.7109375" customWidth="1"/>
    <col min="17" max="17" width="21" customWidth="1"/>
  </cols>
  <sheetData>
    <row r="1" spans="1:18" ht="23.25" thickBot="1" x14ac:dyDescent="0.3">
      <c r="A1" s="16" t="s">
        <v>9</v>
      </c>
      <c r="B1" s="18" t="s">
        <v>465</v>
      </c>
      <c r="C1" s="1" t="s">
        <v>397</v>
      </c>
      <c r="D1" s="1" t="s">
        <v>1</v>
      </c>
      <c r="E1" s="1" t="s">
        <v>2</v>
      </c>
      <c r="F1" s="1" t="s">
        <v>3</v>
      </c>
      <c r="G1" s="17" t="s">
        <v>11</v>
      </c>
      <c r="H1" s="18" t="s">
        <v>460</v>
      </c>
      <c r="I1" s="17" t="s">
        <v>44</v>
      </c>
      <c r="J1" s="18" t="s">
        <v>458</v>
      </c>
      <c r="K1" s="17" t="s">
        <v>10</v>
      </c>
      <c r="L1" s="18" t="s">
        <v>455</v>
      </c>
      <c r="M1" s="1" t="s">
        <v>43</v>
      </c>
      <c r="N1" s="1" t="s">
        <v>7</v>
      </c>
      <c r="O1" s="22" t="s">
        <v>394</v>
      </c>
      <c r="P1" s="22" t="s">
        <v>395</v>
      </c>
      <c r="Q1" s="23" t="s">
        <v>396</v>
      </c>
      <c r="R1" s="22" t="s">
        <v>453</v>
      </c>
    </row>
    <row r="2" spans="1:18" ht="15.75" thickBot="1" x14ac:dyDescent="0.3">
      <c r="A2" s="18" t="s">
        <v>22</v>
      </c>
      <c r="B2" s="1" t="s">
        <v>443</v>
      </c>
      <c r="C2" s="1" t="s">
        <v>155</v>
      </c>
      <c r="D2" s="1" t="s">
        <v>14</v>
      </c>
      <c r="E2" s="1" t="s">
        <v>15</v>
      </c>
      <c r="F2" s="1" t="s">
        <v>16</v>
      </c>
      <c r="G2" s="1" t="s">
        <v>25</v>
      </c>
      <c r="H2" s="1" t="s">
        <v>444</v>
      </c>
      <c r="I2" s="1" t="s">
        <v>53</v>
      </c>
      <c r="J2" s="1" t="s">
        <v>54</v>
      </c>
      <c r="K2" s="1" t="s">
        <v>175</v>
      </c>
      <c r="L2" s="1" t="s">
        <v>176</v>
      </c>
      <c r="M2" s="1" t="s">
        <v>52</v>
      </c>
      <c r="N2" s="1" t="s">
        <v>164</v>
      </c>
      <c r="O2" s="9">
        <v>100</v>
      </c>
      <c r="P2" s="4">
        <v>1</v>
      </c>
      <c r="Q2" s="29">
        <v>1</v>
      </c>
      <c r="R2" t="s">
        <v>921</v>
      </c>
    </row>
    <row r="3" spans="1:18" ht="15.75" thickBot="1" x14ac:dyDescent="0.3">
      <c r="A3" s="18" t="s">
        <v>22</v>
      </c>
      <c r="B3" s="1" t="s">
        <v>443</v>
      </c>
      <c r="C3" s="1" t="s">
        <v>155</v>
      </c>
      <c r="D3" s="1" t="s">
        <v>14</v>
      </c>
      <c r="E3" s="1" t="s">
        <v>15</v>
      </c>
      <c r="F3" s="1" t="s">
        <v>16</v>
      </c>
      <c r="G3" s="1" t="s">
        <v>25</v>
      </c>
      <c r="H3" s="1" t="s">
        <v>444</v>
      </c>
      <c r="I3" s="1" t="s">
        <v>53</v>
      </c>
      <c r="J3" s="1" t="s">
        <v>54</v>
      </c>
      <c r="K3" s="1" t="s">
        <v>178</v>
      </c>
      <c r="L3" s="1" t="s">
        <v>179</v>
      </c>
      <c r="M3" s="1" t="s">
        <v>52</v>
      </c>
      <c r="N3" s="1" t="s">
        <v>164</v>
      </c>
      <c r="O3" s="10">
        <v>100</v>
      </c>
      <c r="P3" s="5">
        <v>1</v>
      </c>
      <c r="Q3" s="30">
        <v>1</v>
      </c>
      <c r="R3" t="s">
        <v>921</v>
      </c>
    </row>
    <row r="4" spans="1:18" ht="15.75" thickBot="1" x14ac:dyDescent="0.3">
      <c r="A4" s="18" t="s">
        <v>22</v>
      </c>
      <c r="B4" s="1" t="s">
        <v>443</v>
      </c>
      <c r="C4" s="1" t="s">
        <v>155</v>
      </c>
      <c r="D4" s="1" t="s">
        <v>14</v>
      </c>
      <c r="E4" s="1" t="s">
        <v>15</v>
      </c>
      <c r="F4" s="1" t="s">
        <v>16</v>
      </c>
      <c r="G4" s="1" t="s">
        <v>25</v>
      </c>
      <c r="H4" s="1" t="s">
        <v>444</v>
      </c>
      <c r="I4" s="1" t="s">
        <v>53</v>
      </c>
      <c r="J4" s="1" t="s">
        <v>54</v>
      </c>
      <c r="K4" s="1" t="s">
        <v>181</v>
      </c>
      <c r="L4" s="1" t="s">
        <v>182</v>
      </c>
      <c r="M4" s="1" t="s">
        <v>52</v>
      </c>
      <c r="N4" s="1" t="s">
        <v>164</v>
      </c>
      <c r="O4" s="9">
        <v>100</v>
      </c>
      <c r="P4" s="4">
        <v>1</v>
      </c>
      <c r="Q4" s="29">
        <v>1</v>
      </c>
      <c r="R4" t="s">
        <v>921</v>
      </c>
    </row>
    <row r="5" spans="1:18" ht="15.75" thickBot="1" x14ac:dyDescent="0.3">
      <c r="A5" s="18" t="s">
        <v>22</v>
      </c>
      <c r="B5" s="1" t="s">
        <v>443</v>
      </c>
      <c r="C5" s="1" t="s">
        <v>155</v>
      </c>
      <c r="D5" s="1" t="s">
        <v>14</v>
      </c>
      <c r="E5" s="1" t="s">
        <v>15</v>
      </c>
      <c r="F5" s="1" t="s">
        <v>16</v>
      </c>
      <c r="G5" s="1" t="s">
        <v>25</v>
      </c>
      <c r="H5" s="1" t="s">
        <v>444</v>
      </c>
      <c r="I5" s="1" t="s">
        <v>123</v>
      </c>
      <c r="J5" s="1" t="s">
        <v>124</v>
      </c>
      <c r="K5" s="1" t="s">
        <v>169</v>
      </c>
      <c r="L5" s="1" t="s">
        <v>170</v>
      </c>
      <c r="M5" s="1" t="s">
        <v>52</v>
      </c>
      <c r="N5" s="1" t="s">
        <v>164</v>
      </c>
      <c r="O5" s="10">
        <v>100</v>
      </c>
      <c r="P5" s="5">
        <v>1</v>
      </c>
      <c r="Q5" s="30">
        <v>1</v>
      </c>
      <c r="R5" t="s">
        <v>921</v>
      </c>
    </row>
    <row r="6" spans="1:18" ht="15.75" thickBot="1" x14ac:dyDescent="0.3">
      <c r="A6" s="18" t="s">
        <v>22</v>
      </c>
      <c r="B6" s="1" t="s">
        <v>443</v>
      </c>
      <c r="C6" s="1" t="s">
        <v>155</v>
      </c>
      <c r="D6" s="1" t="s">
        <v>14</v>
      </c>
      <c r="E6" s="1" t="s">
        <v>15</v>
      </c>
      <c r="F6" s="1" t="s">
        <v>16</v>
      </c>
      <c r="G6" s="1" t="s">
        <v>25</v>
      </c>
      <c r="H6" s="1" t="s">
        <v>444</v>
      </c>
      <c r="I6" s="1" t="s">
        <v>123</v>
      </c>
      <c r="J6" s="1" t="s">
        <v>124</v>
      </c>
      <c r="K6" s="1" t="s">
        <v>172</v>
      </c>
      <c r="L6" s="1" t="s">
        <v>173</v>
      </c>
      <c r="M6" s="1" t="s">
        <v>52</v>
      </c>
      <c r="N6" s="1" t="s">
        <v>174</v>
      </c>
      <c r="O6" s="9">
        <v>100</v>
      </c>
      <c r="P6" s="4">
        <v>1</v>
      </c>
      <c r="Q6" s="29">
        <v>1</v>
      </c>
      <c r="R6" t="s">
        <v>921</v>
      </c>
    </row>
    <row r="7" spans="1:18" ht="15.75" thickBot="1" x14ac:dyDescent="0.3">
      <c r="A7" s="18" t="s">
        <v>22</v>
      </c>
      <c r="B7" s="1" t="s">
        <v>443</v>
      </c>
      <c r="C7" s="1" t="s">
        <v>155</v>
      </c>
      <c r="D7" s="1" t="s">
        <v>14</v>
      </c>
      <c r="E7" s="1" t="s">
        <v>15</v>
      </c>
      <c r="F7" s="1" t="s">
        <v>16</v>
      </c>
      <c r="G7" s="1" t="s">
        <v>25</v>
      </c>
      <c r="H7" s="1" t="s">
        <v>444</v>
      </c>
      <c r="I7" s="1" t="s">
        <v>123</v>
      </c>
      <c r="J7" s="1" t="s">
        <v>124</v>
      </c>
      <c r="K7" s="1" t="s">
        <v>398</v>
      </c>
      <c r="L7" s="1" t="s">
        <v>399</v>
      </c>
      <c r="M7" s="1" t="s">
        <v>52</v>
      </c>
      <c r="N7" s="1" t="s">
        <v>400</v>
      </c>
      <c r="O7" s="10">
        <v>0</v>
      </c>
      <c r="P7" s="5">
        <v>0</v>
      </c>
      <c r="Q7" s="30">
        <v>1</v>
      </c>
      <c r="R7" t="s">
        <v>922</v>
      </c>
    </row>
    <row r="8" spans="1:18" ht="15.75" thickBot="1" x14ac:dyDescent="0.3">
      <c r="A8" s="18" t="s">
        <v>22</v>
      </c>
      <c r="B8" s="1" t="s">
        <v>443</v>
      </c>
      <c r="C8" s="1" t="s">
        <v>155</v>
      </c>
      <c r="D8" s="1" t="s">
        <v>14</v>
      </c>
      <c r="E8" s="1" t="s">
        <v>15</v>
      </c>
      <c r="F8" s="1" t="s">
        <v>16</v>
      </c>
      <c r="G8" s="1" t="s">
        <v>25</v>
      </c>
      <c r="H8" s="1" t="s">
        <v>444</v>
      </c>
      <c r="I8" s="1" t="s">
        <v>99</v>
      </c>
      <c r="J8" s="1" t="s">
        <v>100</v>
      </c>
      <c r="K8" s="1" t="s">
        <v>162</v>
      </c>
      <c r="L8" s="1" t="s">
        <v>163</v>
      </c>
      <c r="M8" s="1" t="s">
        <v>52</v>
      </c>
      <c r="N8" s="1" t="s">
        <v>164</v>
      </c>
      <c r="O8" s="9">
        <v>100</v>
      </c>
      <c r="P8" s="4">
        <v>17</v>
      </c>
      <c r="Q8" s="29">
        <v>17</v>
      </c>
      <c r="R8" t="s">
        <v>921</v>
      </c>
    </row>
    <row r="9" spans="1:18" ht="15.75" thickBot="1" x14ac:dyDescent="0.3">
      <c r="A9" s="18" t="s">
        <v>22</v>
      </c>
      <c r="B9" s="1" t="s">
        <v>443</v>
      </c>
      <c r="C9" s="1" t="s">
        <v>155</v>
      </c>
      <c r="D9" s="1" t="s">
        <v>14</v>
      </c>
      <c r="E9" s="1" t="s">
        <v>15</v>
      </c>
      <c r="F9" s="1" t="s">
        <v>16</v>
      </c>
      <c r="G9" s="1" t="s">
        <v>25</v>
      </c>
      <c r="H9" s="1" t="s">
        <v>444</v>
      </c>
      <c r="I9" s="1" t="s">
        <v>99</v>
      </c>
      <c r="J9" s="1" t="s">
        <v>100</v>
      </c>
      <c r="K9" s="1" t="s">
        <v>401</v>
      </c>
      <c r="L9" s="1" t="s">
        <v>402</v>
      </c>
      <c r="M9" s="1" t="s">
        <v>52</v>
      </c>
      <c r="N9" s="1" t="s">
        <v>403</v>
      </c>
      <c r="O9" s="10">
        <v>0</v>
      </c>
      <c r="P9" s="5">
        <v>0</v>
      </c>
      <c r="Q9" s="30">
        <v>2</v>
      </c>
      <c r="R9" t="s">
        <v>922</v>
      </c>
    </row>
    <row r="10" spans="1:18" ht="15.75" thickBot="1" x14ac:dyDescent="0.3">
      <c r="A10" s="18" t="s">
        <v>22</v>
      </c>
      <c r="B10" s="1" t="s">
        <v>443</v>
      </c>
      <c r="C10" s="1" t="s">
        <v>155</v>
      </c>
      <c r="D10" s="1" t="s">
        <v>14</v>
      </c>
      <c r="E10" s="1" t="s">
        <v>15</v>
      </c>
      <c r="F10" s="1" t="s">
        <v>16</v>
      </c>
      <c r="G10" s="1" t="s">
        <v>25</v>
      </c>
      <c r="H10" s="1" t="s">
        <v>444</v>
      </c>
      <c r="I10" s="1" t="s">
        <v>99</v>
      </c>
      <c r="J10" s="1" t="s">
        <v>100</v>
      </c>
      <c r="K10" s="1" t="s">
        <v>166</v>
      </c>
      <c r="L10" s="1" t="s">
        <v>167</v>
      </c>
      <c r="M10" s="1" t="s">
        <v>52</v>
      </c>
      <c r="N10" s="1" t="s">
        <v>164</v>
      </c>
      <c r="O10" s="9">
        <v>100</v>
      </c>
      <c r="P10" s="4">
        <v>1</v>
      </c>
      <c r="Q10" s="29">
        <v>1</v>
      </c>
      <c r="R10" t="s">
        <v>921</v>
      </c>
    </row>
    <row r="11" spans="1:18" ht="15.75" thickBot="1" x14ac:dyDescent="0.3">
      <c r="A11" s="18" t="s">
        <v>22</v>
      </c>
      <c r="B11" s="1" t="s">
        <v>443</v>
      </c>
      <c r="C11" s="1" t="s">
        <v>155</v>
      </c>
      <c r="D11" s="1" t="s">
        <v>14</v>
      </c>
      <c r="E11" s="1" t="s">
        <v>15</v>
      </c>
      <c r="F11" s="1" t="s">
        <v>35</v>
      </c>
      <c r="G11" s="1" t="s">
        <v>25</v>
      </c>
      <c r="H11" s="1" t="s">
        <v>444</v>
      </c>
      <c r="I11" s="1" t="s">
        <v>53</v>
      </c>
      <c r="J11" s="1" t="s">
        <v>54</v>
      </c>
      <c r="K11" s="1" t="s">
        <v>404</v>
      </c>
      <c r="L11" s="1" t="s">
        <v>405</v>
      </c>
      <c r="M11" s="1" t="s">
        <v>52</v>
      </c>
      <c r="N11" s="1" t="s">
        <v>400</v>
      </c>
      <c r="O11" s="9">
        <v>0</v>
      </c>
      <c r="P11" s="4">
        <v>0</v>
      </c>
      <c r="Q11" s="29">
        <v>1</v>
      </c>
      <c r="R11" t="s">
        <v>922</v>
      </c>
    </row>
    <row r="12" spans="1:18" ht="15.75" thickBot="1" x14ac:dyDescent="0.3">
      <c r="A12" s="18" t="s">
        <v>22</v>
      </c>
      <c r="B12" s="1" t="s">
        <v>443</v>
      </c>
      <c r="C12" s="1" t="s">
        <v>155</v>
      </c>
      <c r="D12" s="1" t="s">
        <v>14</v>
      </c>
      <c r="E12" s="1" t="s">
        <v>15</v>
      </c>
      <c r="F12" s="1" t="s">
        <v>35</v>
      </c>
      <c r="G12" s="1" t="s">
        <v>25</v>
      </c>
      <c r="H12" s="1" t="s">
        <v>444</v>
      </c>
      <c r="I12" s="1" t="s">
        <v>53</v>
      </c>
      <c r="J12" s="1" t="s">
        <v>54</v>
      </c>
      <c r="K12" s="1" t="s">
        <v>406</v>
      </c>
      <c r="L12" s="1" t="s">
        <v>407</v>
      </c>
      <c r="M12" s="1" t="s">
        <v>52</v>
      </c>
      <c r="N12" s="1" t="s">
        <v>400</v>
      </c>
      <c r="O12" s="10">
        <v>0</v>
      </c>
      <c r="P12" s="5">
        <v>0</v>
      </c>
      <c r="Q12" s="30">
        <v>4</v>
      </c>
      <c r="R12" t="s">
        <v>922</v>
      </c>
    </row>
    <row r="13" spans="1:18" ht="15.75" thickBot="1" x14ac:dyDescent="0.3">
      <c r="A13" s="18" t="s">
        <v>22</v>
      </c>
      <c r="B13" s="1" t="s">
        <v>443</v>
      </c>
      <c r="C13" s="1" t="s">
        <v>155</v>
      </c>
      <c r="D13" s="1" t="s">
        <v>14</v>
      </c>
      <c r="E13" s="1" t="s">
        <v>15</v>
      </c>
      <c r="F13" s="1" t="s">
        <v>35</v>
      </c>
      <c r="G13" s="1" t="s">
        <v>25</v>
      </c>
      <c r="H13" s="1" t="s">
        <v>444</v>
      </c>
      <c r="I13" s="1" t="s">
        <v>53</v>
      </c>
      <c r="J13" s="1" t="s">
        <v>54</v>
      </c>
      <c r="K13" s="1" t="s">
        <v>209</v>
      </c>
      <c r="L13" s="1" t="s">
        <v>210</v>
      </c>
      <c r="M13" s="1" t="s">
        <v>52</v>
      </c>
      <c r="N13" s="1" t="s">
        <v>164</v>
      </c>
      <c r="O13" s="9">
        <v>100</v>
      </c>
      <c r="P13" s="4">
        <v>1</v>
      </c>
      <c r="Q13" s="29">
        <v>1</v>
      </c>
      <c r="R13" t="s">
        <v>921</v>
      </c>
    </row>
    <row r="14" spans="1:18" ht="15.75" thickBot="1" x14ac:dyDescent="0.3">
      <c r="A14" s="18" t="s">
        <v>22</v>
      </c>
      <c r="B14" s="1" t="s">
        <v>443</v>
      </c>
      <c r="C14" s="1" t="s">
        <v>155</v>
      </c>
      <c r="D14" s="1" t="s">
        <v>14</v>
      </c>
      <c r="E14" s="1" t="s">
        <v>15</v>
      </c>
      <c r="F14" s="1" t="s">
        <v>35</v>
      </c>
      <c r="G14" s="1" t="s">
        <v>25</v>
      </c>
      <c r="H14" s="1" t="s">
        <v>444</v>
      </c>
      <c r="I14" s="1" t="s">
        <v>53</v>
      </c>
      <c r="J14" s="1" t="s">
        <v>54</v>
      </c>
      <c r="K14" s="1" t="s">
        <v>408</v>
      </c>
      <c r="L14" s="1" t="s">
        <v>409</v>
      </c>
      <c r="M14" s="1" t="s">
        <v>52</v>
      </c>
      <c r="N14" s="1" t="s">
        <v>400</v>
      </c>
      <c r="O14" s="10">
        <v>0</v>
      </c>
      <c r="P14" s="5">
        <v>0</v>
      </c>
      <c r="Q14" s="30">
        <v>1</v>
      </c>
      <c r="R14" t="s">
        <v>922</v>
      </c>
    </row>
    <row r="15" spans="1:18" ht="15.75" thickBot="1" x14ac:dyDescent="0.3">
      <c r="A15" s="18" t="s">
        <v>22</v>
      </c>
      <c r="B15" s="1" t="s">
        <v>443</v>
      </c>
      <c r="C15" s="1" t="s">
        <v>155</v>
      </c>
      <c r="D15" s="1" t="s">
        <v>14</v>
      </c>
      <c r="E15" s="1" t="s">
        <v>15</v>
      </c>
      <c r="F15" s="1" t="s">
        <v>35</v>
      </c>
      <c r="G15" s="1" t="s">
        <v>25</v>
      </c>
      <c r="H15" s="1" t="s">
        <v>444</v>
      </c>
      <c r="I15" s="1" t="s">
        <v>53</v>
      </c>
      <c r="J15" s="1" t="s">
        <v>54</v>
      </c>
      <c r="K15" s="1" t="s">
        <v>410</v>
      </c>
      <c r="L15" s="1" t="s">
        <v>411</v>
      </c>
      <c r="M15" s="1" t="s">
        <v>52</v>
      </c>
      <c r="N15" s="1" t="s">
        <v>400</v>
      </c>
      <c r="O15" s="9">
        <v>0</v>
      </c>
      <c r="P15" s="4">
        <v>0</v>
      </c>
      <c r="Q15" s="29">
        <v>1</v>
      </c>
      <c r="R15" t="s">
        <v>922</v>
      </c>
    </row>
    <row r="16" spans="1:18" ht="15.75" thickBot="1" x14ac:dyDescent="0.3">
      <c r="A16" s="18" t="s">
        <v>22</v>
      </c>
      <c r="B16" s="1" t="s">
        <v>443</v>
      </c>
      <c r="C16" s="1" t="s">
        <v>155</v>
      </c>
      <c r="D16" s="1" t="s">
        <v>14</v>
      </c>
      <c r="E16" s="1" t="s">
        <v>15</v>
      </c>
      <c r="F16" s="1" t="s">
        <v>35</v>
      </c>
      <c r="G16" s="1" t="s">
        <v>25</v>
      </c>
      <c r="H16" s="1" t="s">
        <v>444</v>
      </c>
      <c r="I16" s="1" t="s">
        <v>123</v>
      </c>
      <c r="J16" s="1" t="s">
        <v>124</v>
      </c>
      <c r="K16" s="1" t="s">
        <v>197</v>
      </c>
      <c r="L16" s="1" t="s">
        <v>198</v>
      </c>
      <c r="M16" s="1" t="s">
        <v>52</v>
      </c>
      <c r="N16" s="1" t="s">
        <v>164</v>
      </c>
      <c r="O16" s="10">
        <v>100</v>
      </c>
      <c r="P16" s="5">
        <v>1</v>
      </c>
      <c r="Q16" s="30">
        <v>1</v>
      </c>
      <c r="R16" t="s">
        <v>921</v>
      </c>
    </row>
    <row r="17" spans="1:18" ht="15.75" thickBot="1" x14ac:dyDescent="0.3">
      <c r="A17" s="18" t="s">
        <v>22</v>
      </c>
      <c r="B17" s="1" t="s">
        <v>443</v>
      </c>
      <c r="C17" s="1" t="s">
        <v>155</v>
      </c>
      <c r="D17" s="1" t="s">
        <v>14</v>
      </c>
      <c r="E17" s="1" t="s">
        <v>15</v>
      </c>
      <c r="F17" s="1" t="s">
        <v>35</v>
      </c>
      <c r="G17" s="1" t="s">
        <v>25</v>
      </c>
      <c r="H17" s="1" t="s">
        <v>444</v>
      </c>
      <c r="I17" s="1" t="s">
        <v>123</v>
      </c>
      <c r="J17" s="1" t="s">
        <v>124</v>
      </c>
      <c r="K17" s="1" t="s">
        <v>200</v>
      </c>
      <c r="L17" s="1" t="s">
        <v>201</v>
      </c>
      <c r="M17" s="1" t="s">
        <v>52</v>
      </c>
      <c r="N17" s="1" t="s">
        <v>164</v>
      </c>
      <c r="O17" s="9">
        <v>100</v>
      </c>
      <c r="P17" s="4">
        <v>1</v>
      </c>
      <c r="Q17" s="29">
        <v>1</v>
      </c>
      <c r="R17" t="s">
        <v>921</v>
      </c>
    </row>
    <row r="18" spans="1:18" ht="15.75" thickBot="1" x14ac:dyDescent="0.3">
      <c r="A18" s="18" t="s">
        <v>22</v>
      </c>
      <c r="B18" s="1" t="s">
        <v>443</v>
      </c>
      <c r="C18" s="1" t="s">
        <v>155</v>
      </c>
      <c r="D18" s="1" t="s">
        <v>14</v>
      </c>
      <c r="E18" s="1" t="s">
        <v>15</v>
      </c>
      <c r="F18" s="1" t="s">
        <v>35</v>
      </c>
      <c r="G18" s="1" t="s">
        <v>25</v>
      </c>
      <c r="H18" s="1" t="s">
        <v>444</v>
      </c>
      <c r="I18" s="1" t="s">
        <v>123</v>
      </c>
      <c r="J18" s="1" t="s">
        <v>124</v>
      </c>
      <c r="K18" s="1" t="s">
        <v>202</v>
      </c>
      <c r="L18" s="1" t="s">
        <v>203</v>
      </c>
      <c r="M18" s="1" t="s">
        <v>52</v>
      </c>
      <c r="N18" s="1" t="s">
        <v>164</v>
      </c>
      <c r="O18" s="10">
        <v>100</v>
      </c>
      <c r="P18" s="5">
        <v>4</v>
      </c>
      <c r="Q18" s="30">
        <v>4</v>
      </c>
      <c r="R18" t="s">
        <v>921</v>
      </c>
    </row>
    <row r="19" spans="1:18" ht="15.75" thickBot="1" x14ac:dyDescent="0.3">
      <c r="A19" s="18" t="s">
        <v>22</v>
      </c>
      <c r="B19" s="1" t="s">
        <v>443</v>
      </c>
      <c r="C19" s="1" t="s">
        <v>155</v>
      </c>
      <c r="D19" s="1" t="s">
        <v>14</v>
      </c>
      <c r="E19" s="1" t="s">
        <v>15</v>
      </c>
      <c r="F19" s="1" t="s">
        <v>35</v>
      </c>
      <c r="G19" s="1" t="s">
        <v>25</v>
      </c>
      <c r="H19" s="1" t="s">
        <v>444</v>
      </c>
      <c r="I19" s="1" t="s">
        <v>123</v>
      </c>
      <c r="J19" s="1" t="s">
        <v>124</v>
      </c>
      <c r="K19" s="1" t="s">
        <v>205</v>
      </c>
      <c r="L19" s="1" t="s">
        <v>206</v>
      </c>
      <c r="M19" s="1" t="s">
        <v>52</v>
      </c>
      <c r="N19" s="1" t="s">
        <v>164</v>
      </c>
      <c r="O19" s="9">
        <v>100</v>
      </c>
      <c r="P19" s="4">
        <v>4</v>
      </c>
      <c r="Q19" s="29">
        <v>4</v>
      </c>
      <c r="R19" t="s">
        <v>921</v>
      </c>
    </row>
    <row r="20" spans="1:18" ht="15.75" thickBot="1" x14ac:dyDescent="0.3">
      <c r="A20" s="18" t="s">
        <v>22</v>
      </c>
      <c r="B20" s="1" t="s">
        <v>443</v>
      </c>
      <c r="C20" s="1" t="s">
        <v>155</v>
      </c>
      <c r="D20" s="1" t="s">
        <v>14</v>
      </c>
      <c r="E20" s="1" t="s">
        <v>15</v>
      </c>
      <c r="F20" s="1" t="s">
        <v>35</v>
      </c>
      <c r="G20" s="1" t="s">
        <v>25</v>
      </c>
      <c r="H20" s="1" t="s">
        <v>444</v>
      </c>
      <c r="I20" s="1" t="s">
        <v>123</v>
      </c>
      <c r="J20" s="1" t="s">
        <v>124</v>
      </c>
      <c r="K20" s="1" t="s">
        <v>207</v>
      </c>
      <c r="L20" s="1" t="s">
        <v>208</v>
      </c>
      <c r="M20" s="1" t="s">
        <v>52</v>
      </c>
      <c r="N20" s="1" t="s">
        <v>164</v>
      </c>
      <c r="O20" s="10">
        <v>100</v>
      </c>
      <c r="P20" s="5">
        <v>4</v>
      </c>
      <c r="Q20" s="30">
        <v>4</v>
      </c>
      <c r="R20" t="s">
        <v>921</v>
      </c>
    </row>
    <row r="21" spans="1:18" ht="15.75" thickBot="1" x14ac:dyDescent="0.3">
      <c r="A21" s="18" t="s">
        <v>22</v>
      </c>
      <c r="B21" s="1" t="s">
        <v>443</v>
      </c>
      <c r="C21" s="1" t="s">
        <v>155</v>
      </c>
      <c r="D21" s="1" t="s">
        <v>14</v>
      </c>
      <c r="E21" s="1" t="s">
        <v>15</v>
      </c>
      <c r="F21" s="1" t="s">
        <v>35</v>
      </c>
      <c r="G21" s="1" t="s">
        <v>25</v>
      </c>
      <c r="H21" s="1" t="s">
        <v>444</v>
      </c>
      <c r="I21" s="1" t="s">
        <v>99</v>
      </c>
      <c r="J21" s="1" t="s">
        <v>100</v>
      </c>
      <c r="K21" s="1" t="s">
        <v>412</v>
      </c>
      <c r="L21" s="1" t="s">
        <v>413</v>
      </c>
      <c r="M21" s="1" t="s">
        <v>52</v>
      </c>
      <c r="N21" s="1" t="s">
        <v>400</v>
      </c>
      <c r="O21" s="9">
        <v>0</v>
      </c>
      <c r="P21" s="4">
        <v>0</v>
      </c>
      <c r="Q21" s="29">
        <v>5</v>
      </c>
      <c r="R21" t="s">
        <v>922</v>
      </c>
    </row>
    <row r="22" spans="1:18" ht="15.75" thickBot="1" x14ac:dyDescent="0.3">
      <c r="A22" s="18" t="s">
        <v>22</v>
      </c>
      <c r="B22" s="1" t="s">
        <v>443</v>
      </c>
      <c r="C22" s="1" t="s">
        <v>155</v>
      </c>
      <c r="D22" s="1" t="s">
        <v>14</v>
      </c>
      <c r="E22" s="1" t="s">
        <v>15</v>
      </c>
      <c r="F22" s="1" t="s">
        <v>35</v>
      </c>
      <c r="G22" s="1" t="s">
        <v>25</v>
      </c>
      <c r="H22" s="1" t="s">
        <v>444</v>
      </c>
      <c r="I22" s="1" t="s">
        <v>99</v>
      </c>
      <c r="J22" s="1" t="s">
        <v>100</v>
      </c>
      <c r="K22" s="1" t="s">
        <v>187</v>
      </c>
      <c r="L22" s="1" t="s">
        <v>188</v>
      </c>
      <c r="M22" s="1" t="s">
        <v>52</v>
      </c>
      <c r="N22" s="1" t="s">
        <v>164</v>
      </c>
      <c r="O22" s="10">
        <v>100</v>
      </c>
      <c r="P22" s="5">
        <v>1</v>
      </c>
      <c r="Q22" s="30">
        <v>1</v>
      </c>
      <c r="R22" t="s">
        <v>921</v>
      </c>
    </row>
    <row r="23" spans="1:18" ht="15.75" thickBot="1" x14ac:dyDescent="0.3">
      <c r="A23" s="18" t="s">
        <v>22</v>
      </c>
      <c r="B23" s="1" t="s">
        <v>443</v>
      </c>
      <c r="C23" s="1" t="s">
        <v>155</v>
      </c>
      <c r="D23" s="1" t="s">
        <v>14</v>
      </c>
      <c r="E23" s="1" t="s">
        <v>15</v>
      </c>
      <c r="F23" s="1" t="s">
        <v>35</v>
      </c>
      <c r="G23" s="1" t="s">
        <v>25</v>
      </c>
      <c r="H23" s="1" t="s">
        <v>444</v>
      </c>
      <c r="I23" s="1" t="s">
        <v>99</v>
      </c>
      <c r="J23" s="1" t="s">
        <v>100</v>
      </c>
      <c r="K23" s="1" t="s">
        <v>190</v>
      </c>
      <c r="L23" s="1" t="s">
        <v>191</v>
      </c>
      <c r="M23" s="1" t="s">
        <v>52</v>
      </c>
      <c r="N23" s="1" t="s">
        <v>164</v>
      </c>
      <c r="O23" s="9">
        <v>100</v>
      </c>
      <c r="P23" s="4">
        <v>1</v>
      </c>
      <c r="Q23" s="29">
        <v>1</v>
      </c>
      <c r="R23" t="s">
        <v>921</v>
      </c>
    </row>
    <row r="24" spans="1:18" ht="15.75" thickBot="1" x14ac:dyDescent="0.3">
      <c r="A24" s="18" t="s">
        <v>22</v>
      </c>
      <c r="B24" s="1" t="s">
        <v>443</v>
      </c>
      <c r="C24" s="1" t="s">
        <v>155</v>
      </c>
      <c r="D24" s="1" t="s">
        <v>14</v>
      </c>
      <c r="E24" s="1" t="s">
        <v>15</v>
      </c>
      <c r="F24" s="1" t="s">
        <v>35</v>
      </c>
      <c r="G24" s="1" t="s">
        <v>25</v>
      </c>
      <c r="H24" s="1" t="s">
        <v>444</v>
      </c>
      <c r="I24" s="1" t="s">
        <v>99</v>
      </c>
      <c r="J24" s="1" t="s">
        <v>100</v>
      </c>
      <c r="K24" s="1" t="s">
        <v>192</v>
      </c>
      <c r="L24" s="1" t="s">
        <v>193</v>
      </c>
      <c r="M24" s="1" t="s">
        <v>52</v>
      </c>
      <c r="N24" s="1" t="s">
        <v>164</v>
      </c>
      <c r="O24" s="10">
        <v>100</v>
      </c>
      <c r="P24" s="5">
        <v>1</v>
      </c>
      <c r="Q24" s="30">
        <v>1</v>
      </c>
      <c r="R24" t="s">
        <v>921</v>
      </c>
    </row>
    <row r="25" spans="1:18" ht="15.75" thickBot="1" x14ac:dyDescent="0.3">
      <c r="A25" s="18" t="s">
        <v>22</v>
      </c>
      <c r="B25" s="1" t="s">
        <v>443</v>
      </c>
      <c r="C25" s="1" t="s">
        <v>155</v>
      </c>
      <c r="D25" s="1" t="s">
        <v>14</v>
      </c>
      <c r="E25" s="1" t="s">
        <v>15</v>
      </c>
      <c r="F25" s="1" t="s">
        <v>35</v>
      </c>
      <c r="G25" s="1" t="s">
        <v>25</v>
      </c>
      <c r="H25" s="1" t="s">
        <v>444</v>
      </c>
      <c r="I25" s="1" t="s">
        <v>99</v>
      </c>
      <c r="J25" s="1" t="s">
        <v>100</v>
      </c>
      <c r="K25" s="1" t="s">
        <v>195</v>
      </c>
      <c r="L25" s="1" t="s">
        <v>196</v>
      </c>
      <c r="M25" s="1" t="s">
        <v>52</v>
      </c>
      <c r="N25" s="1" t="s">
        <v>164</v>
      </c>
      <c r="O25" s="9">
        <v>100</v>
      </c>
      <c r="P25" s="4">
        <v>1</v>
      </c>
      <c r="Q25" s="29">
        <v>1</v>
      </c>
      <c r="R25" t="s">
        <v>921</v>
      </c>
    </row>
    <row r="26" spans="1:18" ht="15.75" thickBot="1" x14ac:dyDescent="0.3">
      <c r="A26" s="18" t="s">
        <v>22</v>
      </c>
      <c r="B26" s="1" t="s">
        <v>443</v>
      </c>
      <c r="C26" s="1" t="s">
        <v>155</v>
      </c>
      <c r="D26" s="1" t="s">
        <v>14</v>
      </c>
      <c r="E26" s="1" t="s">
        <v>94</v>
      </c>
      <c r="F26" s="1" t="s">
        <v>131</v>
      </c>
      <c r="G26" s="1" t="s">
        <v>25</v>
      </c>
      <c r="H26" s="1" t="s">
        <v>444</v>
      </c>
      <c r="I26" s="1" t="s">
        <v>123</v>
      </c>
      <c r="J26" s="1" t="s">
        <v>124</v>
      </c>
      <c r="K26" s="1" t="s">
        <v>360</v>
      </c>
      <c r="L26" s="1" t="s">
        <v>133</v>
      </c>
      <c r="M26" s="1" t="s">
        <v>52</v>
      </c>
      <c r="N26" s="1" t="s">
        <v>164</v>
      </c>
      <c r="O26" s="9">
        <v>100</v>
      </c>
      <c r="P26" s="4">
        <v>1</v>
      </c>
      <c r="Q26" s="29">
        <v>1</v>
      </c>
      <c r="R26" t="s">
        <v>921</v>
      </c>
    </row>
    <row r="27" spans="1:18" ht="15.75" thickBot="1" x14ac:dyDescent="0.3">
      <c r="A27" s="18" t="s">
        <v>22</v>
      </c>
      <c r="B27" s="1" t="s">
        <v>443</v>
      </c>
      <c r="C27" s="1" t="s">
        <v>155</v>
      </c>
      <c r="D27" s="1" t="s">
        <v>14</v>
      </c>
      <c r="E27" s="1" t="s">
        <v>94</v>
      </c>
      <c r="F27" s="1" t="s">
        <v>131</v>
      </c>
      <c r="G27" s="1" t="s">
        <v>25</v>
      </c>
      <c r="H27" s="1" t="s">
        <v>444</v>
      </c>
      <c r="I27" s="1" t="s">
        <v>123</v>
      </c>
      <c r="J27" s="1" t="s">
        <v>124</v>
      </c>
      <c r="K27" s="1" t="s">
        <v>361</v>
      </c>
      <c r="L27" s="1" t="s">
        <v>135</v>
      </c>
      <c r="M27" s="1" t="s">
        <v>52</v>
      </c>
      <c r="N27" s="1" t="s">
        <v>164</v>
      </c>
      <c r="O27" s="10">
        <v>100</v>
      </c>
      <c r="P27" s="5">
        <v>1</v>
      </c>
      <c r="Q27" s="30">
        <v>1</v>
      </c>
      <c r="R27" t="s">
        <v>921</v>
      </c>
    </row>
    <row r="28" spans="1:18" ht="15.75" thickBot="1" x14ac:dyDescent="0.3">
      <c r="A28" s="18" t="s">
        <v>22</v>
      </c>
      <c r="B28" s="1" t="s">
        <v>443</v>
      </c>
      <c r="C28" s="1" t="s">
        <v>155</v>
      </c>
      <c r="D28" s="1" t="s">
        <v>14</v>
      </c>
      <c r="E28" s="1" t="s">
        <v>94</v>
      </c>
      <c r="F28" s="1" t="s">
        <v>131</v>
      </c>
      <c r="G28" s="1" t="s">
        <v>25</v>
      </c>
      <c r="H28" s="1" t="s">
        <v>444</v>
      </c>
      <c r="I28" s="1" t="s">
        <v>123</v>
      </c>
      <c r="J28" s="1" t="s">
        <v>124</v>
      </c>
      <c r="K28" s="1" t="s">
        <v>362</v>
      </c>
      <c r="L28" s="1" t="s">
        <v>137</v>
      </c>
      <c r="M28" s="1" t="s">
        <v>52</v>
      </c>
      <c r="N28" s="1" t="s">
        <v>164</v>
      </c>
      <c r="O28" s="9">
        <v>100</v>
      </c>
      <c r="P28" s="4">
        <v>1</v>
      </c>
      <c r="Q28" s="29">
        <v>1</v>
      </c>
      <c r="R28" t="s">
        <v>921</v>
      </c>
    </row>
    <row r="29" spans="1:18" ht="15.75" thickBot="1" x14ac:dyDescent="0.3">
      <c r="A29" s="18" t="s">
        <v>22</v>
      </c>
      <c r="B29" s="1" t="s">
        <v>443</v>
      </c>
      <c r="C29" s="1" t="s">
        <v>155</v>
      </c>
      <c r="D29" s="1" t="s">
        <v>14</v>
      </c>
      <c r="E29" s="1" t="s">
        <v>94</v>
      </c>
      <c r="F29" s="1" t="s">
        <v>131</v>
      </c>
      <c r="G29" s="1" t="s">
        <v>25</v>
      </c>
      <c r="H29" s="1" t="s">
        <v>444</v>
      </c>
      <c r="I29" s="1" t="s">
        <v>123</v>
      </c>
      <c r="J29" s="1" t="s">
        <v>124</v>
      </c>
      <c r="K29" s="1" t="s">
        <v>363</v>
      </c>
      <c r="L29" s="1" t="s">
        <v>139</v>
      </c>
      <c r="M29" s="1" t="s">
        <v>52</v>
      </c>
      <c r="N29" s="1" t="s">
        <v>164</v>
      </c>
      <c r="O29" s="10">
        <v>100</v>
      </c>
      <c r="P29" s="5">
        <v>1</v>
      </c>
      <c r="Q29" s="30">
        <v>1</v>
      </c>
      <c r="R29" t="s">
        <v>921</v>
      </c>
    </row>
    <row r="30" spans="1:18" ht="15.75" thickBot="1" x14ac:dyDescent="0.3">
      <c r="A30" s="18" t="s">
        <v>22</v>
      </c>
      <c r="B30" s="1" t="s">
        <v>443</v>
      </c>
      <c r="C30" s="1" t="s">
        <v>155</v>
      </c>
      <c r="D30" s="1" t="s">
        <v>14</v>
      </c>
      <c r="E30" s="1" t="s">
        <v>94</v>
      </c>
      <c r="F30" s="1" t="s">
        <v>131</v>
      </c>
      <c r="G30" s="1" t="s">
        <v>25</v>
      </c>
      <c r="H30" s="1" t="s">
        <v>444</v>
      </c>
      <c r="I30" s="1" t="s">
        <v>123</v>
      </c>
      <c r="J30" s="1" t="s">
        <v>124</v>
      </c>
      <c r="K30" s="1" t="s">
        <v>364</v>
      </c>
      <c r="L30" s="1" t="s">
        <v>365</v>
      </c>
      <c r="M30" s="1" t="s">
        <v>52</v>
      </c>
      <c r="N30" s="1" t="s">
        <v>164</v>
      </c>
      <c r="O30" s="9">
        <v>100</v>
      </c>
      <c r="P30" s="4">
        <v>1</v>
      </c>
      <c r="Q30" s="29">
        <v>1</v>
      </c>
      <c r="R30" t="s">
        <v>921</v>
      </c>
    </row>
    <row r="31" spans="1:18" ht="15.75" thickBot="1" x14ac:dyDescent="0.3">
      <c r="A31" s="18" t="s">
        <v>22</v>
      </c>
      <c r="B31" s="1" t="s">
        <v>443</v>
      </c>
      <c r="C31" s="1" t="s">
        <v>155</v>
      </c>
      <c r="D31" s="1" t="s">
        <v>14</v>
      </c>
      <c r="E31" s="1" t="s">
        <v>94</v>
      </c>
      <c r="F31" s="1" t="s">
        <v>131</v>
      </c>
      <c r="G31" s="1" t="s">
        <v>25</v>
      </c>
      <c r="H31" s="1" t="s">
        <v>444</v>
      </c>
      <c r="I31" s="1" t="s">
        <v>123</v>
      </c>
      <c r="J31" s="1" t="s">
        <v>124</v>
      </c>
      <c r="K31" s="1" t="s">
        <v>366</v>
      </c>
      <c r="L31" s="1" t="s">
        <v>367</v>
      </c>
      <c r="M31" s="1" t="s">
        <v>52</v>
      </c>
      <c r="N31" s="1" t="s">
        <v>164</v>
      </c>
      <c r="O31" s="10">
        <v>100</v>
      </c>
      <c r="P31" s="5">
        <v>1</v>
      </c>
      <c r="Q31" s="30">
        <v>1</v>
      </c>
      <c r="R31" t="s">
        <v>921</v>
      </c>
    </row>
    <row r="32" spans="1:18" ht="15.75" thickBot="1" x14ac:dyDescent="0.3">
      <c r="A32" s="18" t="s">
        <v>22</v>
      </c>
      <c r="B32" s="1" t="s">
        <v>443</v>
      </c>
      <c r="C32" s="1" t="s">
        <v>155</v>
      </c>
      <c r="D32" s="1" t="s">
        <v>14</v>
      </c>
      <c r="E32" s="1" t="s">
        <v>94</v>
      </c>
      <c r="F32" s="1" t="s">
        <v>131</v>
      </c>
      <c r="G32" s="1" t="s">
        <v>25</v>
      </c>
      <c r="H32" s="1" t="s">
        <v>444</v>
      </c>
      <c r="I32" s="1" t="s">
        <v>123</v>
      </c>
      <c r="J32" s="1" t="s">
        <v>124</v>
      </c>
      <c r="K32" s="1" t="s">
        <v>368</v>
      </c>
      <c r="L32" s="1" t="s">
        <v>369</v>
      </c>
      <c r="M32" s="1" t="s">
        <v>52</v>
      </c>
      <c r="N32" s="1" t="s">
        <v>164</v>
      </c>
      <c r="O32" s="9">
        <v>100</v>
      </c>
      <c r="P32" s="4">
        <v>1</v>
      </c>
      <c r="Q32" s="29">
        <v>1</v>
      </c>
      <c r="R32" t="s">
        <v>921</v>
      </c>
    </row>
    <row r="33" spans="1:18" ht="15.75" thickBot="1" x14ac:dyDescent="0.3">
      <c r="A33" s="18" t="s">
        <v>22</v>
      </c>
      <c r="B33" s="1" t="s">
        <v>443</v>
      </c>
      <c r="C33" s="1" t="s">
        <v>155</v>
      </c>
      <c r="D33" s="1" t="s">
        <v>14</v>
      </c>
      <c r="E33" s="1" t="s">
        <v>94</v>
      </c>
      <c r="F33" s="1" t="s">
        <v>131</v>
      </c>
      <c r="G33" s="1" t="s">
        <v>25</v>
      </c>
      <c r="H33" s="1" t="s">
        <v>444</v>
      </c>
      <c r="I33" s="1" t="s">
        <v>123</v>
      </c>
      <c r="J33" s="1" t="s">
        <v>124</v>
      </c>
      <c r="K33" s="1" t="s">
        <v>370</v>
      </c>
      <c r="L33" s="1" t="s">
        <v>371</v>
      </c>
      <c r="M33" s="1" t="s">
        <v>52</v>
      </c>
      <c r="N33" s="1" t="s">
        <v>164</v>
      </c>
      <c r="O33" s="10">
        <v>100</v>
      </c>
      <c r="P33" s="5">
        <v>1</v>
      </c>
      <c r="Q33" s="30">
        <v>1</v>
      </c>
      <c r="R33" t="s">
        <v>921</v>
      </c>
    </row>
    <row r="34" spans="1:18" ht="15.75" thickBot="1" x14ac:dyDescent="0.3">
      <c r="A34" s="18" t="s">
        <v>22</v>
      </c>
      <c r="B34" s="1" t="s">
        <v>443</v>
      </c>
      <c r="C34" s="1" t="s">
        <v>155</v>
      </c>
      <c r="D34" s="1" t="s">
        <v>14</v>
      </c>
      <c r="E34" s="1" t="s">
        <v>94</v>
      </c>
      <c r="F34" s="1" t="s">
        <v>131</v>
      </c>
      <c r="G34" s="1" t="s">
        <v>25</v>
      </c>
      <c r="H34" s="1" t="s">
        <v>444</v>
      </c>
      <c r="I34" s="1" t="s">
        <v>123</v>
      </c>
      <c r="J34" s="1" t="s">
        <v>124</v>
      </c>
      <c r="K34" s="1" t="s">
        <v>372</v>
      </c>
      <c r="L34" s="1" t="s">
        <v>373</v>
      </c>
      <c r="M34" s="1" t="s">
        <v>52</v>
      </c>
      <c r="N34" s="1" t="s">
        <v>164</v>
      </c>
      <c r="O34" s="9">
        <v>100</v>
      </c>
      <c r="P34" s="4">
        <v>1</v>
      </c>
      <c r="Q34" s="29">
        <v>1</v>
      </c>
      <c r="R34" t="s">
        <v>921</v>
      </c>
    </row>
    <row r="35" spans="1:18" ht="15.75" thickBot="1" x14ac:dyDescent="0.3">
      <c r="A35" s="18" t="s">
        <v>22</v>
      </c>
      <c r="B35" s="1" t="s">
        <v>443</v>
      </c>
      <c r="C35" s="1" t="s">
        <v>155</v>
      </c>
      <c r="D35" s="1" t="s">
        <v>14</v>
      </c>
      <c r="E35" s="1" t="s">
        <v>94</v>
      </c>
      <c r="F35" s="1" t="s">
        <v>131</v>
      </c>
      <c r="G35" s="1" t="s">
        <v>25</v>
      </c>
      <c r="H35" s="1" t="s">
        <v>444</v>
      </c>
      <c r="I35" s="1" t="s">
        <v>123</v>
      </c>
      <c r="J35" s="1" t="s">
        <v>124</v>
      </c>
      <c r="K35" s="1" t="s">
        <v>374</v>
      </c>
      <c r="L35" s="1" t="s">
        <v>375</v>
      </c>
      <c r="M35" s="1" t="s">
        <v>52</v>
      </c>
      <c r="N35" s="1" t="s">
        <v>164</v>
      </c>
      <c r="O35" s="10">
        <v>100</v>
      </c>
      <c r="P35" s="5">
        <v>1</v>
      </c>
      <c r="Q35" s="30">
        <v>1</v>
      </c>
      <c r="R35" t="s">
        <v>921</v>
      </c>
    </row>
    <row r="36" spans="1:18" ht="15.75" thickBot="1" x14ac:dyDescent="0.3">
      <c r="A36" s="18" t="s">
        <v>22</v>
      </c>
      <c r="B36" s="1" t="s">
        <v>443</v>
      </c>
      <c r="C36" s="1" t="s">
        <v>155</v>
      </c>
      <c r="D36" s="1" t="s">
        <v>14</v>
      </c>
      <c r="E36" s="1" t="s">
        <v>94</v>
      </c>
      <c r="F36" s="1" t="s">
        <v>131</v>
      </c>
      <c r="G36" s="1" t="s">
        <v>25</v>
      </c>
      <c r="H36" s="1" t="s">
        <v>444</v>
      </c>
      <c r="I36" s="1" t="s">
        <v>99</v>
      </c>
      <c r="J36" s="1" t="s">
        <v>100</v>
      </c>
      <c r="K36" s="1" t="s">
        <v>355</v>
      </c>
      <c r="L36" s="1" t="s">
        <v>356</v>
      </c>
      <c r="M36" s="1" t="s">
        <v>52</v>
      </c>
      <c r="N36" s="1" t="s">
        <v>164</v>
      </c>
      <c r="O36" s="9">
        <v>100</v>
      </c>
      <c r="P36" s="4">
        <v>1</v>
      </c>
      <c r="Q36" s="29">
        <v>1</v>
      </c>
      <c r="R36" t="s">
        <v>921</v>
      </c>
    </row>
    <row r="37" spans="1:18" ht="15.75" thickBot="1" x14ac:dyDescent="0.3">
      <c r="A37" s="18" t="s">
        <v>22</v>
      </c>
      <c r="B37" s="1" t="s">
        <v>443</v>
      </c>
      <c r="C37" s="1" t="s">
        <v>155</v>
      </c>
      <c r="D37" s="1" t="s">
        <v>14</v>
      </c>
      <c r="E37" s="1" t="s">
        <v>94</v>
      </c>
      <c r="F37" s="1" t="s">
        <v>131</v>
      </c>
      <c r="G37" s="1" t="s">
        <v>25</v>
      </c>
      <c r="H37" s="1" t="s">
        <v>444</v>
      </c>
      <c r="I37" s="1" t="s">
        <v>99</v>
      </c>
      <c r="J37" s="1" t="s">
        <v>100</v>
      </c>
      <c r="K37" s="1" t="s">
        <v>358</v>
      </c>
      <c r="L37" s="1" t="s">
        <v>359</v>
      </c>
      <c r="M37" s="1" t="s">
        <v>52</v>
      </c>
      <c r="N37" s="1" t="s">
        <v>164</v>
      </c>
      <c r="O37" s="10">
        <v>100</v>
      </c>
      <c r="P37" s="5">
        <v>1</v>
      </c>
      <c r="Q37" s="30">
        <v>1</v>
      </c>
      <c r="R37" t="s">
        <v>921</v>
      </c>
    </row>
    <row r="38" spans="1:18" ht="15.75" thickBot="1" x14ac:dyDescent="0.3">
      <c r="A38" s="18" t="s">
        <v>22</v>
      </c>
      <c r="B38" s="1" t="s">
        <v>443</v>
      </c>
      <c r="C38" s="1" t="s">
        <v>155</v>
      </c>
      <c r="D38" s="1" t="s">
        <v>14</v>
      </c>
      <c r="E38" s="1" t="s">
        <v>94</v>
      </c>
      <c r="F38" s="1" t="s">
        <v>376</v>
      </c>
      <c r="G38" s="1" t="s">
        <v>25</v>
      </c>
      <c r="H38" s="1" t="s">
        <v>444</v>
      </c>
      <c r="I38" s="1" t="s">
        <v>99</v>
      </c>
      <c r="J38" s="1" t="s">
        <v>100</v>
      </c>
      <c r="K38" s="1" t="s">
        <v>386</v>
      </c>
      <c r="L38" s="1" t="s">
        <v>387</v>
      </c>
      <c r="M38" s="1" t="s">
        <v>52</v>
      </c>
      <c r="N38" s="1" t="s">
        <v>164</v>
      </c>
      <c r="O38" s="10">
        <v>100</v>
      </c>
      <c r="P38" s="5">
        <v>1</v>
      </c>
      <c r="Q38" s="30">
        <v>1</v>
      </c>
      <c r="R38" t="s">
        <v>921</v>
      </c>
    </row>
    <row r="39" spans="1:18" ht="15.75" thickBot="1" x14ac:dyDescent="0.3">
      <c r="A39" s="18" t="s">
        <v>22</v>
      </c>
      <c r="B39" s="1" t="s">
        <v>443</v>
      </c>
      <c r="C39" s="1" t="s">
        <v>155</v>
      </c>
      <c r="D39" s="1" t="s">
        <v>14</v>
      </c>
      <c r="E39" s="1" t="s">
        <v>94</v>
      </c>
      <c r="F39" s="1" t="s">
        <v>376</v>
      </c>
      <c r="G39" s="1" t="s">
        <v>25</v>
      </c>
      <c r="H39" s="1" t="s">
        <v>444</v>
      </c>
      <c r="I39" s="1" t="s">
        <v>99</v>
      </c>
      <c r="J39" s="1" t="s">
        <v>100</v>
      </c>
      <c r="K39" s="1" t="s">
        <v>388</v>
      </c>
      <c r="L39" s="1" t="s">
        <v>389</v>
      </c>
      <c r="M39" s="1" t="s">
        <v>52</v>
      </c>
      <c r="N39" s="1" t="s">
        <v>164</v>
      </c>
      <c r="O39" s="9">
        <v>100</v>
      </c>
      <c r="P39" s="4">
        <v>1</v>
      </c>
      <c r="Q39" s="29">
        <v>1</v>
      </c>
      <c r="R39" t="s">
        <v>921</v>
      </c>
    </row>
    <row r="40" spans="1:18" ht="15.75" thickBot="1" x14ac:dyDescent="0.3">
      <c r="A40" s="18" t="s">
        <v>22</v>
      </c>
      <c r="B40" s="1" t="s">
        <v>443</v>
      </c>
      <c r="C40" s="1" t="s">
        <v>155</v>
      </c>
      <c r="D40" s="1" t="s">
        <v>14</v>
      </c>
      <c r="E40" s="1" t="s">
        <v>94</v>
      </c>
      <c r="F40" s="1" t="s">
        <v>376</v>
      </c>
      <c r="G40" s="1" t="s">
        <v>25</v>
      </c>
      <c r="H40" s="1" t="s">
        <v>444</v>
      </c>
      <c r="I40" s="1" t="s">
        <v>99</v>
      </c>
      <c r="J40" s="1" t="s">
        <v>100</v>
      </c>
      <c r="K40" s="1" t="s">
        <v>390</v>
      </c>
      <c r="L40" s="1" t="s">
        <v>391</v>
      </c>
      <c r="M40" s="1" t="s">
        <v>52</v>
      </c>
      <c r="N40" s="1" t="s">
        <v>164</v>
      </c>
      <c r="O40" s="10">
        <v>100</v>
      </c>
      <c r="P40" s="5">
        <v>1</v>
      </c>
      <c r="Q40" s="30">
        <v>1</v>
      </c>
      <c r="R40" t="s">
        <v>921</v>
      </c>
    </row>
    <row r="41" spans="1:18" ht="15.75" thickBot="1" x14ac:dyDescent="0.3">
      <c r="A41" s="18" t="s">
        <v>22</v>
      </c>
      <c r="B41" s="1" t="s">
        <v>443</v>
      </c>
      <c r="C41" s="1" t="s">
        <v>155</v>
      </c>
      <c r="D41" s="1" t="s">
        <v>14</v>
      </c>
      <c r="E41" s="1" t="s">
        <v>94</v>
      </c>
      <c r="F41" s="1" t="s">
        <v>376</v>
      </c>
      <c r="G41" s="1" t="s">
        <v>25</v>
      </c>
      <c r="H41" s="1" t="s">
        <v>444</v>
      </c>
      <c r="I41" s="1" t="s">
        <v>99</v>
      </c>
      <c r="J41" s="1" t="s">
        <v>100</v>
      </c>
      <c r="K41" s="1" t="s">
        <v>392</v>
      </c>
      <c r="L41" s="1" t="s">
        <v>393</v>
      </c>
      <c r="M41" s="1" t="s">
        <v>52</v>
      </c>
      <c r="N41" s="1" t="s">
        <v>164</v>
      </c>
      <c r="O41" s="9">
        <v>100</v>
      </c>
      <c r="P41" s="4">
        <v>1</v>
      </c>
      <c r="Q41" s="29">
        <v>1</v>
      </c>
      <c r="R41" t="s">
        <v>921</v>
      </c>
    </row>
    <row r="42" spans="1:18" ht="15.75" thickBot="1" x14ac:dyDescent="0.3">
      <c r="A42" s="18" t="s">
        <v>46</v>
      </c>
      <c r="B42" s="1" t="s">
        <v>445</v>
      </c>
      <c r="C42" s="1" t="s">
        <v>155</v>
      </c>
      <c r="D42" s="1" t="s">
        <v>14</v>
      </c>
      <c r="E42" s="1" t="s">
        <v>47</v>
      </c>
      <c r="F42" s="1" t="s">
        <v>48</v>
      </c>
      <c r="G42" s="1" t="s">
        <v>56</v>
      </c>
      <c r="H42" s="1" t="s">
        <v>450</v>
      </c>
      <c r="I42" s="1" t="s">
        <v>53</v>
      </c>
      <c r="J42" s="1" t="s">
        <v>54</v>
      </c>
      <c r="K42" s="1" t="s">
        <v>271</v>
      </c>
      <c r="L42" s="1" t="s">
        <v>272</v>
      </c>
      <c r="M42" s="1" t="s">
        <v>52</v>
      </c>
      <c r="N42" s="1" t="s">
        <v>267</v>
      </c>
      <c r="O42" s="10">
        <v>100</v>
      </c>
      <c r="P42" s="5">
        <v>2</v>
      </c>
      <c r="Q42" s="30">
        <v>2</v>
      </c>
      <c r="R42" t="s">
        <v>921</v>
      </c>
    </row>
    <row r="43" spans="1:18" ht="15.75" thickBot="1" x14ac:dyDescent="0.3">
      <c r="A43" s="18" t="s">
        <v>46</v>
      </c>
      <c r="B43" s="1" t="s">
        <v>445</v>
      </c>
      <c r="C43" s="1" t="s">
        <v>155</v>
      </c>
      <c r="D43" s="1" t="s">
        <v>14</v>
      </c>
      <c r="E43" s="1" t="s">
        <v>47</v>
      </c>
      <c r="F43" s="1" t="s">
        <v>48</v>
      </c>
      <c r="G43" s="1" t="s">
        <v>56</v>
      </c>
      <c r="H43" s="1" t="s">
        <v>450</v>
      </c>
      <c r="I43" s="1" t="s">
        <v>53</v>
      </c>
      <c r="J43" s="1" t="s">
        <v>54</v>
      </c>
      <c r="K43" s="1" t="s">
        <v>271</v>
      </c>
      <c r="L43" s="1" t="s">
        <v>272</v>
      </c>
      <c r="M43" s="1" t="s">
        <v>52</v>
      </c>
      <c r="N43" s="1" t="s">
        <v>249</v>
      </c>
      <c r="O43" s="9">
        <v>100</v>
      </c>
      <c r="P43" s="4">
        <v>1</v>
      </c>
      <c r="Q43" s="29">
        <v>1</v>
      </c>
      <c r="R43" t="s">
        <v>921</v>
      </c>
    </row>
    <row r="44" spans="1:18" ht="15.75" thickBot="1" x14ac:dyDescent="0.3">
      <c r="A44" s="18" t="s">
        <v>46</v>
      </c>
      <c r="B44" s="1" t="s">
        <v>445</v>
      </c>
      <c r="C44" s="1" t="s">
        <v>155</v>
      </c>
      <c r="D44" s="1" t="s">
        <v>14</v>
      </c>
      <c r="E44" s="1" t="s">
        <v>47</v>
      </c>
      <c r="F44" s="1" t="s">
        <v>48</v>
      </c>
      <c r="G44" s="1" t="s">
        <v>56</v>
      </c>
      <c r="H44" s="1" t="s">
        <v>450</v>
      </c>
      <c r="I44" s="1" t="s">
        <v>53</v>
      </c>
      <c r="J44" s="1" t="s">
        <v>54</v>
      </c>
      <c r="K44" s="1" t="s">
        <v>274</v>
      </c>
      <c r="L44" s="1" t="s">
        <v>275</v>
      </c>
      <c r="M44" s="1" t="s">
        <v>52</v>
      </c>
      <c r="N44" s="1" t="s">
        <v>267</v>
      </c>
      <c r="O44" s="10">
        <v>100</v>
      </c>
      <c r="P44" s="5">
        <v>1</v>
      </c>
      <c r="Q44" s="30">
        <v>1</v>
      </c>
      <c r="R44" t="s">
        <v>921</v>
      </c>
    </row>
    <row r="45" spans="1:18" ht="15.75" thickBot="1" x14ac:dyDescent="0.3">
      <c r="A45" s="18" t="s">
        <v>46</v>
      </c>
      <c r="B45" s="1" t="s">
        <v>445</v>
      </c>
      <c r="C45" s="1" t="s">
        <v>155</v>
      </c>
      <c r="D45" s="1" t="s">
        <v>14</v>
      </c>
      <c r="E45" s="1" t="s">
        <v>47</v>
      </c>
      <c r="F45" s="1" t="s">
        <v>48</v>
      </c>
      <c r="G45" s="1" t="s">
        <v>56</v>
      </c>
      <c r="H45" s="1" t="s">
        <v>450</v>
      </c>
      <c r="I45" s="1" t="s">
        <v>53</v>
      </c>
      <c r="J45" s="1" t="s">
        <v>54</v>
      </c>
      <c r="K45" s="1" t="s">
        <v>274</v>
      </c>
      <c r="L45" s="1" t="s">
        <v>275</v>
      </c>
      <c r="M45" s="1" t="s">
        <v>52</v>
      </c>
      <c r="N45" s="1" t="s">
        <v>249</v>
      </c>
      <c r="O45" s="9">
        <v>100</v>
      </c>
      <c r="P45" s="4">
        <v>1</v>
      </c>
      <c r="Q45" s="29">
        <v>1</v>
      </c>
      <c r="R45" t="s">
        <v>921</v>
      </c>
    </row>
    <row r="46" spans="1:18" ht="15.75" thickBot="1" x14ac:dyDescent="0.3">
      <c r="A46" s="18" t="s">
        <v>46</v>
      </c>
      <c r="B46" s="1" t="s">
        <v>445</v>
      </c>
      <c r="C46" s="1" t="s">
        <v>155</v>
      </c>
      <c r="D46" s="1" t="s">
        <v>14</v>
      </c>
      <c r="E46" s="1" t="s">
        <v>47</v>
      </c>
      <c r="F46" s="1" t="s">
        <v>48</v>
      </c>
      <c r="G46" s="1" t="s">
        <v>56</v>
      </c>
      <c r="H46" s="1" t="s">
        <v>450</v>
      </c>
      <c r="I46" s="1" t="s">
        <v>53</v>
      </c>
      <c r="J46" s="1" t="s">
        <v>54</v>
      </c>
      <c r="K46" s="1" t="s">
        <v>276</v>
      </c>
      <c r="L46" s="1" t="s">
        <v>277</v>
      </c>
      <c r="M46" s="1" t="s">
        <v>52</v>
      </c>
      <c r="N46" s="1" t="s">
        <v>267</v>
      </c>
      <c r="O46" s="10">
        <v>100</v>
      </c>
      <c r="P46" s="5">
        <v>1</v>
      </c>
      <c r="Q46" s="30">
        <v>1</v>
      </c>
      <c r="R46" t="s">
        <v>921</v>
      </c>
    </row>
    <row r="47" spans="1:18" ht="15.75" thickBot="1" x14ac:dyDescent="0.3">
      <c r="A47" s="18" t="s">
        <v>46</v>
      </c>
      <c r="B47" s="1" t="s">
        <v>445</v>
      </c>
      <c r="C47" s="1" t="s">
        <v>155</v>
      </c>
      <c r="D47" s="1" t="s">
        <v>14</v>
      </c>
      <c r="E47" s="1" t="s">
        <v>47</v>
      </c>
      <c r="F47" s="1" t="s">
        <v>48</v>
      </c>
      <c r="G47" s="1" t="s">
        <v>56</v>
      </c>
      <c r="H47" s="1" t="s">
        <v>450</v>
      </c>
      <c r="I47" s="1" t="s">
        <v>53</v>
      </c>
      <c r="J47" s="1" t="s">
        <v>54</v>
      </c>
      <c r="K47" s="1" t="s">
        <v>276</v>
      </c>
      <c r="L47" s="1" t="s">
        <v>277</v>
      </c>
      <c r="M47" s="1" t="s">
        <v>52</v>
      </c>
      <c r="N47" s="1" t="s">
        <v>249</v>
      </c>
      <c r="O47" s="9">
        <v>100</v>
      </c>
      <c r="P47" s="4">
        <v>1</v>
      </c>
      <c r="Q47" s="29">
        <v>1</v>
      </c>
      <c r="R47" t="s">
        <v>921</v>
      </c>
    </row>
    <row r="48" spans="1:18" ht="15.75" thickBot="1" x14ac:dyDescent="0.3">
      <c r="A48" s="18" t="s">
        <v>46</v>
      </c>
      <c r="B48" s="1" t="s">
        <v>445</v>
      </c>
      <c r="C48" s="1" t="s">
        <v>155</v>
      </c>
      <c r="D48" s="1" t="s">
        <v>14</v>
      </c>
      <c r="E48" s="1" t="s">
        <v>47</v>
      </c>
      <c r="F48" s="1" t="s">
        <v>48</v>
      </c>
      <c r="G48" s="1" t="s">
        <v>56</v>
      </c>
      <c r="H48" s="1" t="s">
        <v>450</v>
      </c>
      <c r="I48" s="1" t="s">
        <v>53</v>
      </c>
      <c r="J48" s="1" t="s">
        <v>54</v>
      </c>
      <c r="K48" s="1" t="s">
        <v>278</v>
      </c>
      <c r="L48" s="1" t="s">
        <v>279</v>
      </c>
      <c r="M48" s="1" t="s">
        <v>52</v>
      </c>
      <c r="N48" s="1" t="s">
        <v>267</v>
      </c>
      <c r="O48" s="10">
        <v>100</v>
      </c>
      <c r="P48" s="5">
        <v>1</v>
      </c>
      <c r="Q48" s="30">
        <v>1</v>
      </c>
      <c r="R48" t="s">
        <v>921</v>
      </c>
    </row>
    <row r="49" spans="1:18" ht="15.75" thickBot="1" x14ac:dyDescent="0.3">
      <c r="A49" s="18" t="s">
        <v>46</v>
      </c>
      <c r="B49" s="1" t="s">
        <v>445</v>
      </c>
      <c r="C49" s="1" t="s">
        <v>155</v>
      </c>
      <c r="D49" s="1" t="s">
        <v>14</v>
      </c>
      <c r="E49" s="1" t="s">
        <v>47</v>
      </c>
      <c r="F49" s="1" t="s">
        <v>48</v>
      </c>
      <c r="G49" s="1" t="s">
        <v>56</v>
      </c>
      <c r="H49" s="1" t="s">
        <v>450</v>
      </c>
      <c r="I49" s="1" t="s">
        <v>53</v>
      </c>
      <c r="J49" s="1" t="s">
        <v>54</v>
      </c>
      <c r="K49" s="1" t="s">
        <v>278</v>
      </c>
      <c r="L49" s="1" t="s">
        <v>279</v>
      </c>
      <c r="M49" s="1" t="s">
        <v>52</v>
      </c>
      <c r="N49" s="1" t="s">
        <v>249</v>
      </c>
      <c r="O49" s="9">
        <v>100</v>
      </c>
      <c r="P49" s="4">
        <v>1</v>
      </c>
      <c r="Q49" s="29">
        <v>1</v>
      </c>
      <c r="R49" t="s">
        <v>921</v>
      </c>
    </row>
    <row r="50" spans="1:18" ht="15.75" thickBot="1" x14ac:dyDescent="0.3">
      <c r="A50" s="18" t="s">
        <v>46</v>
      </c>
      <c r="B50" s="1" t="s">
        <v>445</v>
      </c>
      <c r="C50" s="1" t="s">
        <v>155</v>
      </c>
      <c r="D50" s="1" t="s">
        <v>14</v>
      </c>
      <c r="E50" s="1" t="s">
        <v>47</v>
      </c>
      <c r="F50" s="1" t="s">
        <v>48</v>
      </c>
      <c r="G50" s="1" t="s">
        <v>56</v>
      </c>
      <c r="H50" s="1" t="s">
        <v>450</v>
      </c>
      <c r="I50" s="1" t="s">
        <v>53</v>
      </c>
      <c r="J50" s="1" t="s">
        <v>54</v>
      </c>
      <c r="K50" s="1" t="s">
        <v>280</v>
      </c>
      <c r="L50" s="1" t="s">
        <v>281</v>
      </c>
      <c r="M50" s="1" t="s">
        <v>52</v>
      </c>
      <c r="N50" s="1" t="s">
        <v>267</v>
      </c>
      <c r="O50" s="10">
        <v>100</v>
      </c>
      <c r="P50" s="5">
        <v>1</v>
      </c>
      <c r="Q50" s="30">
        <v>1</v>
      </c>
      <c r="R50" t="s">
        <v>921</v>
      </c>
    </row>
    <row r="51" spans="1:18" ht="15.75" thickBot="1" x14ac:dyDescent="0.3">
      <c r="A51" s="18" t="s">
        <v>46</v>
      </c>
      <c r="B51" s="1" t="s">
        <v>445</v>
      </c>
      <c r="C51" s="1" t="s">
        <v>155</v>
      </c>
      <c r="D51" s="1" t="s">
        <v>14</v>
      </c>
      <c r="E51" s="1" t="s">
        <v>47</v>
      </c>
      <c r="F51" s="1" t="s">
        <v>48</v>
      </c>
      <c r="G51" s="1" t="s">
        <v>56</v>
      </c>
      <c r="H51" s="1" t="s">
        <v>450</v>
      </c>
      <c r="I51" s="1" t="s">
        <v>53</v>
      </c>
      <c r="J51" s="1" t="s">
        <v>54</v>
      </c>
      <c r="K51" s="1" t="s">
        <v>280</v>
      </c>
      <c r="L51" s="1" t="s">
        <v>281</v>
      </c>
      <c r="M51" s="1" t="s">
        <v>52</v>
      </c>
      <c r="N51" s="1" t="s">
        <v>249</v>
      </c>
      <c r="O51" s="9">
        <v>100</v>
      </c>
      <c r="P51" s="4">
        <v>1</v>
      </c>
      <c r="Q51" s="29">
        <v>1</v>
      </c>
      <c r="R51" t="s">
        <v>921</v>
      </c>
    </row>
    <row r="52" spans="1:18" ht="15.75" thickBot="1" x14ac:dyDescent="0.3">
      <c r="A52" s="18" t="s">
        <v>46</v>
      </c>
      <c r="B52" s="1" t="s">
        <v>445</v>
      </c>
      <c r="C52" s="1" t="s">
        <v>155</v>
      </c>
      <c r="D52" s="1" t="s">
        <v>14</v>
      </c>
      <c r="E52" s="1" t="s">
        <v>47</v>
      </c>
      <c r="F52" s="1" t="s">
        <v>48</v>
      </c>
      <c r="G52" s="1" t="s">
        <v>56</v>
      </c>
      <c r="H52" s="1" t="s">
        <v>450</v>
      </c>
      <c r="I52" s="1" t="s">
        <v>53</v>
      </c>
      <c r="J52" s="1" t="s">
        <v>54</v>
      </c>
      <c r="K52" s="1" t="s">
        <v>282</v>
      </c>
      <c r="L52" s="1" t="s">
        <v>283</v>
      </c>
      <c r="M52" s="1" t="s">
        <v>52</v>
      </c>
      <c r="N52" s="1" t="s">
        <v>267</v>
      </c>
      <c r="O52" s="10">
        <v>100</v>
      </c>
      <c r="P52" s="5">
        <v>2</v>
      </c>
      <c r="Q52" s="30">
        <v>2</v>
      </c>
      <c r="R52" t="s">
        <v>921</v>
      </c>
    </row>
    <row r="53" spans="1:18" ht="15.75" thickBot="1" x14ac:dyDescent="0.3">
      <c r="A53" s="18" t="s">
        <v>46</v>
      </c>
      <c r="B53" s="1" t="s">
        <v>445</v>
      </c>
      <c r="C53" s="1" t="s">
        <v>155</v>
      </c>
      <c r="D53" s="1" t="s">
        <v>14</v>
      </c>
      <c r="E53" s="1" t="s">
        <v>47</v>
      </c>
      <c r="F53" s="1" t="s">
        <v>48</v>
      </c>
      <c r="G53" s="1" t="s">
        <v>56</v>
      </c>
      <c r="H53" s="1" t="s">
        <v>450</v>
      </c>
      <c r="I53" s="1" t="s">
        <v>53</v>
      </c>
      <c r="J53" s="1" t="s">
        <v>54</v>
      </c>
      <c r="K53" s="1" t="s">
        <v>282</v>
      </c>
      <c r="L53" s="1" t="s">
        <v>283</v>
      </c>
      <c r="M53" s="1" t="s">
        <v>52</v>
      </c>
      <c r="N53" s="1" t="s">
        <v>249</v>
      </c>
      <c r="O53" s="9">
        <v>100</v>
      </c>
      <c r="P53" s="4">
        <v>1</v>
      </c>
      <c r="Q53" s="29">
        <v>1</v>
      </c>
      <c r="R53" t="s">
        <v>921</v>
      </c>
    </row>
    <row r="54" spans="1:18" ht="15.75" thickBot="1" x14ac:dyDescent="0.3">
      <c r="A54" s="18" t="s">
        <v>46</v>
      </c>
      <c r="B54" s="1" t="s">
        <v>445</v>
      </c>
      <c r="C54" s="1" t="s">
        <v>155</v>
      </c>
      <c r="D54" s="1" t="s">
        <v>14</v>
      </c>
      <c r="E54" s="1" t="s">
        <v>47</v>
      </c>
      <c r="F54" s="1" t="s">
        <v>48</v>
      </c>
      <c r="G54" s="1" t="s">
        <v>56</v>
      </c>
      <c r="H54" s="1" t="s">
        <v>450</v>
      </c>
      <c r="I54" s="1" t="s">
        <v>53</v>
      </c>
      <c r="J54" s="1" t="s">
        <v>54</v>
      </c>
      <c r="K54" s="1" t="s">
        <v>284</v>
      </c>
      <c r="L54" s="1" t="s">
        <v>285</v>
      </c>
      <c r="M54" s="1" t="s">
        <v>52</v>
      </c>
      <c r="N54" s="1" t="s">
        <v>267</v>
      </c>
      <c r="O54" s="10">
        <v>100</v>
      </c>
      <c r="P54" s="5">
        <v>2</v>
      </c>
      <c r="Q54" s="30">
        <v>2</v>
      </c>
      <c r="R54" t="s">
        <v>921</v>
      </c>
    </row>
    <row r="55" spans="1:18" ht="15.75" thickBot="1" x14ac:dyDescent="0.3">
      <c r="A55" s="18" t="s">
        <v>46</v>
      </c>
      <c r="B55" s="1" t="s">
        <v>445</v>
      </c>
      <c r="C55" s="1" t="s">
        <v>155</v>
      </c>
      <c r="D55" s="1" t="s">
        <v>14</v>
      </c>
      <c r="E55" s="1" t="s">
        <v>47</v>
      </c>
      <c r="F55" s="1" t="s">
        <v>48</v>
      </c>
      <c r="G55" s="1" t="s">
        <v>56</v>
      </c>
      <c r="H55" s="1" t="s">
        <v>450</v>
      </c>
      <c r="I55" s="1" t="s">
        <v>53</v>
      </c>
      <c r="J55" s="1" t="s">
        <v>54</v>
      </c>
      <c r="K55" s="1" t="s">
        <v>284</v>
      </c>
      <c r="L55" s="1" t="s">
        <v>285</v>
      </c>
      <c r="M55" s="1" t="s">
        <v>52</v>
      </c>
      <c r="N55" s="1" t="s">
        <v>249</v>
      </c>
      <c r="O55" s="9">
        <v>100</v>
      </c>
      <c r="P55" s="4">
        <v>1</v>
      </c>
      <c r="Q55" s="29">
        <v>1</v>
      </c>
      <c r="R55" t="s">
        <v>921</v>
      </c>
    </row>
    <row r="56" spans="1:18" ht="15.75" thickBot="1" x14ac:dyDescent="0.3">
      <c r="A56" s="18" t="s">
        <v>46</v>
      </c>
      <c r="B56" s="1" t="s">
        <v>445</v>
      </c>
      <c r="C56" s="1" t="s">
        <v>155</v>
      </c>
      <c r="D56" s="1" t="s">
        <v>14</v>
      </c>
      <c r="E56" s="1" t="s">
        <v>47</v>
      </c>
      <c r="F56" s="1" t="s">
        <v>48</v>
      </c>
      <c r="G56" s="1" t="s">
        <v>56</v>
      </c>
      <c r="H56" s="1" t="s">
        <v>450</v>
      </c>
      <c r="I56" s="1" t="s">
        <v>53</v>
      </c>
      <c r="J56" s="1" t="s">
        <v>54</v>
      </c>
      <c r="K56" s="1" t="s">
        <v>414</v>
      </c>
      <c r="L56" s="1" t="s">
        <v>415</v>
      </c>
      <c r="M56" s="1" t="s">
        <v>52</v>
      </c>
      <c r="N56" s="1" t="s">
        <v>164</v>
      </c>
      <c r="O56" s="10">
        <v>0</v>
      </c>
      <c r="P56" s="5">
        <v>0</v>
      </c>
      <c r="Q56" s="30">
        <v>1</v>
      </c>
      <c r="R56" t="s">
        <v>922</v>
      </c>
    </row>
    <row r="57" spans="1:18" ht="15.75" thickBot="1" x14ac:dyDescent="0.3">
      <c r="A57" s="18" t="s">
        <v>46</v>
      </c>
      <c r="B57" s="1" t="s">
        <v>445</v>
      </c>
      <c r="C57" s="1" t="s">
        <v>155</v>
      </c>
      <c r="D57" s="1" t="s">
        <v>14</v>
      </c>
      <c r="E57" s="1" t="s">
        <v>47</v>
      </c>
      <c r="F57" s="1" t="s">
        <v>48</v>
      </c>
      <c r="G57" s="1" t="s">
        <v>56</v>
      </c>
      <c r="H57" s="1" t="s">
        <v>450</v>
      </c>
      <c r="I57" s="1" t="s">
        <v>53</v>
      </c>
      <c r="J57" s="1" t="s">
        <v>54</v>
      </c>
      <c r="K57" s="1" t="s">
        <v>414</v>
      </c>
      <c r="L57" s="1" t="s">
        <v>415</v>
      </c>
      <c r="M57" s="1" t="s">
        <v>52</v>
      </c>
      <c r="N57" s="1" t="s">
        <v>174</v>
      </c>
      <c r="O57" s="9">
        <v>0</v>
      </c>
      <c r="P57" s="4">
        <v>0</v>
      </c>
      <c r="Q57" s="29">
        <v>2</v>
      </c>
      <c r="R57" t="s">
        <v>922</v>
      </c>
    </row>
    <row r="58" spans="1:18" ht="15.75" thickBot="1" x14ac:dyDescent="0.3">
      <c r="A58" s="18" t="s">
        <v>46</v>
      </c>
      <c r="B58" s="1" t="s">
        <v>445</v>
      </c>
      <c r="C58" s="1" t="s">
        <v>155</v>
      </c>
      <c r="D58" s="1" t="s">
        <v>14</v>
      </c>
      <c r="E58" s="1" t="s">
        <v>47</v>
      </c>
      <c r="F58" s="1" t="s">
        <v>48</v>
      </c>
      <c r="G58" s="1" t="s">
        <v>56</v>
      </c>
      <c r="H58" s="1" t="s">
        <v>450</v>
      </c>
      <c r="I58" s="1" t="s">
        <v>53</v>
      </c>
      <c r="J58" s="1" t="s">
        <v>54</v>
      </c>
      <c r="K58" s="1" t="s">
        <v>286</v>
      </c>
      <c r="L58" s="1" t="s">
        <v>287</v>
      </c>
      <c r="M58" s="1" t="s">
        <v>52</v>
      </c>
      <c r="N58" s="1" t="s">
        <v>267</v>
      </c>
      <c r="O58" s="10">
        <v>100</v>
      </c>
      <c r="P58" s="5">
        <v>1</v>
      </c>
      <c r="Q58" s="30">
        <v>1</v>
      </c>
      <c r="R58" t="s">
        <v>921</v>
      </c>
    </row>
    <row r="59" spans="1:18" ht="15.75" thickBot="1" x14ac:dyDescent="0.3">
      <c r="A59" s="18" t="s">
        <v>46</v>
      </c>
      <c r="B59" s="1" t="s">
        <v>445</v>
      </c>
      <c r="C59" s="1" t="s">
        <v>155</v>
      </c>
      <c r="D59" s="1" t="s">
        <v>14</v>
      </c>
      <c r="E59" s="1" t="s">
        <v>47</v>
      </c>
      <c r="F59" s="1" t="s">
        <v>48</v>
      </c>
      <c r="G59" s="1" t="s">
        <v>56</v>
      </c>
      <c r="H59" s="1" t="s">
        <v>450</v>
      </c>
      <c r="I59" s="1" t="s">
        <v>53</v>
      </c>
      <c r="J59" s="1" t="s">
        <v>54</v>
      </c>
      <c r="K59" s="1" t="s">
        <v>286</v>
      </c>
      <c r="L59" s="1" t="s">
        <v>287</v>
      </c>
      <c r="M59" s="1" t="s">
        <v>52</v>
      </c>
      <c r="N59" s="1" t="s">
        <v>249</v>
      </c>
      <c r="O59" s="9">
        <v>100</v>
      </c>
      <c r="P59" s="4">
        <v>1</v>
      </c>
      <c r="Q59" s="29">
        <v>1</v>
      </c>
      <c r="R59" t="s">
        <v>921</v>
      </c>
    </row>
    <row r="60" spans="1:18" ht="15.75" thickBot="1" x14ac:dyDescent="0.3">
      <c r="A60" s="18" t="s">
        <v>46</v>
      </c>
      <c r="B60" s="1" t="s">
        <v>445</v>
      </c>
      <c r="C60" s="1" t="s">
        <v>155</v>
      </c>
      <c r="D60" s="1" t="s">
        <v>14</v>
      </c>
      <c r="E60" s="1" t="s">
        <v>47</v>
      </c>
      <c r="F60" s="1" t="s">
        <v>48</v>
      </c>
      <c r="G60" s="1" t="s">
        <v>56</v>
      </c>
      <c r="H60" s="1" t="s">
        <v>450</v>
      </c>
      <c r="I60" s="1" t="s">
        <v>53</v>
      </c>
      <c r="J60" s="1" t="s">
        <v>54</v>
      </c>
      <c r="K60" s="1" t="s">
        <v>288</v>
      </c>
      <c r="L60" s="1" t="s">
        <v>289</v>
      </c>
      <c r="M60" s="1" t="s">
        <v>52</v>
      </c>
      <c r="N60" s="1" t="s">
        <v>267</v>
      </c>
      <c r="O60" s="10">
        <v>100</v>
      </c>
      <c r="P60" s="5">
        <v>2</v>
      </c>
      <c r="Q60" s="30">
        <v>2</v>
      </c>
      <c r="R60" t="s">
        <v>921</v>
      </c>
    </row>
    <row r="61" spans="1:18" ht="15.75" thickBot="1" x14ac:dyDescent="0.3">
      <c r="A61" s="18" t="s">
        <v>46</v>
      </c>
      <c r="B61" s="1" t="s">
        <v>445</v>
      </c>
      <c r="C61" s="1" t="s">
        <v>155</v>
      </c>
      <c r="D61" s="1" t="s">
        <v>14</v>
      </c>
      <c r="E61" s="1" t="s">
        <v>47</v>
      </c>
      <c r="F61" s="1" t="s">
        <v>48</v>
      </c>
      <c r="G61" s="1" t="s">
        <v>56</v>
      </c>
      <c r="H61" s="1" t="s">
        <v>450</v>
      </c>
      <c r="I61" s="1" t="s">
        <v>53</v>
      </c>
      <c r="J61" s="1" t="s">
        <v>54</v>
      </c>
      <c r="K61" s="1" t="s">
        <v>288</v>
      </c>
      <c r="L61" s="1" t="s">
        <v>289</v>
      </c>
      <c r="M61" s="1" t="s">
        <v>52</v>
      </c>
      <c r="N61" s="1" t="s">
        <v>249</v>
      </c>
      <c r="O61" s="9">
        <v>100</v>
      </c>
      <c r="P61" s="4">
        <v>1</v>
      </c>
      <c r="Q61" s="29">
        <v>1</v>
      </c>
      <c r="R61" t="s">
        <v>921</v>
      </c>
    </row>
    <row r="62" spans="1:18" ht="15.75" thickBot="1" x14ac:dyDescent="0.3">
      <c r="A62" s="18" t="s">
        <v>46</v>
      </c>
      <c r="B62" s="1" t="s">
        <v>445</v>
      </c>
      <c r="C62" s="1" t="s">
        <v>155</v>
      </c>
      <c r="D62" s="1" t="s">
        <v>14</v>
      </c>
      <c r="E62" s="1" t="s">
        <v>47</v>
      </c>
      <c r="F62" s="1" t="s">
        <v>48</v>
      </c>
      <c r="G62" s="1" t="s">
        <v>56</v>
      </c>
      <c r="H62" s="1" t="s">
        <v>450</v>
      </c>
      <c r="I62" s="1" t="s">
        <v>53</v>
      </c>
      <c r="J62" s="1" t="s">
        <v>54</v>
      </c>
      <c r="K62" s="1" t="s">
        <v>290</v>
      </c>
      <c r="L62" s="1" t="s">
        <v>291</v>
      </c>
      <c r="M62" s="1" t="s">
        <v>52</v>
      </c>
      <c r="N62" s="1" t="s">
        <v>267</v>
      </c>
      <c r="O62" s="10">
        <v>100</v>
      </c>
      <c r="P62" s="5">
        <v>2</v>
      </c>
      <c r="Q62" s="30">
        <v>2</v>
      </c>
      <c r="R62" t="s">
        <v>921</v>
      </c>
    </row>
    <row r="63" spans="1:18" ht="15.75" thickBot="1" x14ac:dyDescent="0.3">
      <c r="A63" s="18" t="s">
        <v>46</v>
      </c>
      <c r="B63" s="1" t="s">
        <v>445</v>
      </c>
      <c r="C63" s="1" t="s">
        <v>155</v>
      </c>
      <c r="D63" s="1" t="s">
        <v>14</v>
      </c>
      <c r="E63" s="1" t="s">
        <v>47</v>
      </c>
      <c r="F63" s="1" t="s">
        <v>48</v>
      </c>
      <c r="G63" s="1" t="s">
        <v>56</v>
      </c>
      <c r="H63" s="1" t="s">
        <v>450</v>
      </c>
      <c r="I63" s="1" t="s">
        <v>53</v>
      </c>
      <c r="J63" s="1" t="s">
        <v>54</v>
      </c>
      <c r="K63" s="1" t="s">
        <v>290</v>
      </c>
      <c r="L63" s="1" t="s">
        <v>291</v>
      </c>
      <c r="M63" s="1" t="s">
        <v>52</v>
      </c>
      <c r="N63" s="1" t="s">
        <v>249</v>
      </c>
      <c r="O63" s="9">
        <v>100</v>
      </c>
      <c r="P63" s="4">
        <v>1</v>
      </c>
      <c r="Q63" s="29">
        <v>1</v>
      </c>
      <c r="R63" t="s">
        <v>921</v>
      </c>
    </row>
    <row r="64" spans="1:18" ht="15.75" thickBot="1" x14ac:dyDescent="0.3">
      <c r="A64" s="18" t="s">
        <v>46</v>
      </c>
      <c r="B64" s="1" t="s">
        <v>445</v>
      </c>
      <c r="C64" s="1" t="s">
        <v>155</v>
      </c>
      <c r="D64" s="1" t="s">
        <v>14</v>
      </c>
      <c r="E64" s="1" t="s">
        <v>47</v>
      </c>
      <c r="F64" s="1" t="s">
        <v>48</v>
      </c>
      <c r="G64" s="1" t="s">
        <v>56</v>
      </c>
      <c r="H64" s="1" t="s">
        <v>450</v>
      </c>
      <c r="I64" s="1" t="s">
        <v>53</v>
      </c>
      <c r="J64" s="1" t="s">
        <v>54</v>
      </c>
      <c r="K64" s="1" t="s">
        <v>292</v>
      </c>
      <c r="L64" s="1" t="s">
        <v>293</v>
      </c>
      <c r="M64" s="1" t="s">
        <v>52</v>
      </c>
      <c r="N64" s="1" t="s">
        <v>267</v>
      </c>
      <c r="O64" s="10">
        <v>100</v>
      </c>
      <c r="P64" s="5">
        <v>3</v>
      </c>
      <c r="Q64" s="30">
        <v>3</v>
      </c>
      <c r="R64" t="s">
        <v>921</v>
      </c>
    </row>
    <row r="65" spans="1:18" ht="15.75" thickBot="1" x14ac:dyDescent="0.3">
      <c r="A65" s="18" t="s">
        <v>46</v>
      </c>
      <c r="B65" s="1" t="s">
        <v>445</v>
      </c>
      <c r="C65" s="1" t="s">
        <v>155</v>
      </c>
      <c r="D65" s="1" t="s">
        <v>14</v>
      </c>
      <c r="E65" s="1" t="s">
        <v>47</v>
      </c>
      <c r="F65" s="1" t="s">
        <v>48</v>
      </c>
      <c r="G65" s="1" t="s">
        <v>56</v>
      </c>
      <c r="H65" s="1" t="s">
        <v>450</v>
      </c>
      <c r="I65" s="1" t="s">
        <v>53</v>
      </c>
      <c r="J65" s="1" t="s">
        <v>54</v>
      </c>
      <c r="K65" s="1" t="s">
        <v>292</v>
      </c>
      <c r="L65" s="1" t="s">
        <v>293</v>
      </c>
      <c r="M65" s="1" t="s">
        <v>52</v>
      </c>
      <c r="N65" s="1" t="s">
        <v>249</v>
      </c>
      <c r="O65" s="9">
        <v>100</v>
      </c>
      <c r="P65" s="4">
        <v>1</v>
      </c>
      <c r="Q65" s="29">
        <v>1</v>
      </c>
      <c r="R65" t="s">
        <v>921</v>
      </c>
    </row>
    <row r="66" spans="1:18" ht="15.75" thickBot="1" x14ac:dyDescent="0.3">
      <c r="A66" s="18" t="s">
        <v>46</v>
      </c>
      <c r="B66" s="1" t="s">
        <v>445</v>
      </c>
      <c r="C66" s="1" t="s">
        <v>155</v>
      </c>
      <c r="D66" s="1" t="s">
        <v>14</v>
      </c>
      <c r="E66" s="1" t="s">
        <v>47</v>
      </c>
      <c r="F66" s="1" t="s">
        <v>48</v>
      </c>
      <c r="G66" s="1" t="s">
        <v>56</v>
      </c>
      <c r="H66" s="1" t="s">
        <v>450</v>
      </c>
      <c r="I66" s="1" t="s">
        <v>53</v>
      </c>
      <c r="J66" s="1" t="s">
        <v>54</v>
      </c>
      <c r="K66" s="1" t="s">
        <v>296</v>
      </c>
      <c r="L66" s="1" t="s">
        <v>297</v>
      </c>
      <c r="M66" s="1" t="s">
        <v>52</v>
      </c>
      <c r="N66" s="1" t="s">
        <v>164</v>
      </c>
      <c r="O66" s="10">
        <v>100</v>
      </c>
      <c r="P66" s="5">
        <v>1</v>
      </c>
      <c r="Q66" s="30">
        <v>1</v>
      </c>
      <c r="R66" t="s">
        <v>921</v>
      </c>
    </row>
    <row r="67" spans="1:18" ht="15.75" thickBot="1" x14ac:dyDescent="0.3">
      <c r="A67" s="18" t="s">
        <v>46</v>
      </c>
      <c r="B67" s="1" t="s">
        <v>445</v>
      </c>
      <c r="C67" s="1" t="s">
        <v>155</v>
      </c>
      <c r="D67" s="1" t="s">
        <v>14</v>
      </c>
      <c r="E67" s="1" t="s">
        <v>47</v>
      </c>
      <c r="F67" s="1" t="s">
        <v>48</v>
      </c>
      <c r="G67" s="1" t="s">
        <v>56</v>
      </c>
      <c r="H67" s="1" t="s">
        <v>450</v>
      </c>
      <c r="I67" s="1" t="s">
        <v>53</v>
      </c>
      <c r="J67" s="1" t="s">
        <v>54</v>
      </c>
      <c r="K67" s="1" t="s">
        <v>296</v>
      </c>
      <c r="L67" s="1" t="s">
        <v>297</v>
      </c>
      <c r="M67" s="1" t="s">
        <v>52</v>
      </c>
      <c r="N67" s="1" t="s">
        <v>174</v>
      </c>
      <c r="O67" s="9">
        <v>100</v>
      </c>
      <c r="P67" s="4">
        <v>1</v>
      </c>
      <c r="Q67" s="29">
        <v>1</v>
      </c>
      <c r="R67" t="s">
        <v>921</v>
      </c>
    </row>
    <row r="68" spans="1:18" ht="15.75" thickBot="1" x14ac:dyDescent="0.3">
      <c r="A68" s="18" t="s">
        <v>46</v>
      </c>
      <c r="B68" s="1" t="s">
        <v>445</v>
      </c>
      <c r="C68" s="1" t="s">
        <v>155</v>
      </c>
      <c r="D68" s="1" t="s">
        <v>14</v>
      </c>
      <c r="E68" s="1" t="s">
        <v>47</v>
      </c>
      <c r="F68" s="1" t="s">
        <v>48</v>
      </c>
      <c r="G68" s="1" t="s">
        <v>56</v>
      </c>
      <c r="H68" s="1" t="s">
        <v>450</v>
      </c>
      <c r="I68" s="1" t="s">
        <v>53</v>
      </c>
      <c r="J68" s="1" t="s">
        <v>54</v>
      </c>
      <c r="K68" s="1" t="s">
        <v>298</v>
      </c>
      <c r="L68" s="1" t="s">
        <v>299</v>
      </c>
      <c r="M68" s="1" t="s">
        <v>52</v>
      </c>
      <c r="N68" s="1" t="s">
        <v>400</v>
      </c>
      <c r="O68" s="10">
        <v>0</v>
      </c>
      <c r="P68" s="5">
        <v>0</v>
      </c>
      <c r="Q68" s="30">
        <v>2</v>
      </c>
      <c r="R68" t="s">
        <v>922</v>
      </c>
    </row>
    <row r="69" spans="1:18" ht="15.75" thickBot="1" x14ac:dyDescent="0.3">
      <c r="A69" s="18" t="s">
        <v>46</v>
      </c>
      <c r="B69" s="1" t="s">
        <v>445</v>
      </c>
      <c r="C69" s="1" t="s">
        <v>155</v>
      </c>
      <c r="D69" s="1" t="s">
        <v>14</v>
      </c>
      <c r="E69" s="1" t="s">
        <v>47</v>
      </c>
      <c r="F69" s="1" t="s">
        <v>48</v>
      </c>
      <c r="G69" s="1" t="s">
        <v>56</v>
      </c>
      <c r="H69" s="1" t="s">
        <v>450</v>
      </c>
      <c r="I69" s="1" t="s">
        <v>53</v>
      </c>
      <c r="J69" s="1" t="s">
        <v>54</v>
      </c>
      <c r="K69" s="1" t="s">
        <v>298</v>
      </c>
      <c r="L69" s="1" t="s">
        <v>299</v>
      </c>
      <c r="M69" s="1" t="s">
        <v>52</v>
      </c>
      <c r="N69" s="1" t="s">
        <v>267</v>
      </c>
      <c r="O69" s="9">
        <v>100</v>
      </c>
      <c r="P69" s="4">
        <v>3</v>
      </c>
      <c r="Q69" s="29">
        <v>3</v>
      </c>
      <c r="R69" t="s">
        <v>921</v>
      </c>
    </row>
    <row r="70" spans="1:18" ht="15.75" thickBot="1" x14ac:dyDescent="0.3">
      <c r="A70" s="18" t="s">
        <v>46</v>
      </c>
      <c r="B70" s="1" t="s">
        <v>445</v>
      </c>
      <c r="C70" s="1" t="s">
        <v>155</v>
      </c>
      <c r="D70" s="1" t="s">
        <v>14</v>
      </c>
      <c r="E70" s="1" t="s">
        <v>47</v>
      </c>
      <c r="F70" s="1" t="s">
        <v>48</v>
      </c>
      <c r="G70" s="1" t="s">
        <v>56</v>
      </c>
      <c r="H70" s="1" t="s">
        <v>450</v>
      </c>
      <c r="I70" s="1" t="s">
        <v>53</v>
      </c>
      <c r="J70" s="1" t="s">
        <v>54</v>
      </c>
      <c r="K70" s="1" t="s">
        <v>298</v>
      </c>
      <c r="L70" s="1" t="s">
        <v>299</v>
      </c>
      <c r="M70" s="1" t="s">
        <v>52</v>
      </c>
      <c r="N70" s="1" t="s">
        <v>249</v>
      </c>
      <c r="O70" s="10">
        <v>100</v>
      </c>
      <c r="P70" s="5">
        <v>3</v>
      </c>
      <c r="Q70" s="30">
        <v>3</v>
      </c>
      <c r="R70" t="s">
        <v>921</v>
      </c>
    </row>
    <row r="71" spans="1:18" ht="15.75" thickBot="1" x14ac:dyDescent="0.3">
      <c r="A71" s="18" t="s">
        <v>46</v>
      </c>
      <c r="B71" s="1" t="s">
        <v>445</v>
      </c>
      <c r="C71" s="1" t="s">
        <v>155</v>
      </c>
      <c r="D71" s="1" t="s">
        <v>14</v>
      </c>
      <c r="E71" s="1" t="s">
        <v>47</v>
      </c>
      <c r="F71" s="1" t="s">
        <v>48</v>
      </c>
      <c r="G71" s="1" t="s">
        <v>56</v>
      </c>
      <c r="H71" s="1" t="s">
        <v>450</v>
      </c>
      <c r="I71" s="1" t="s">
        <v>53</v>
      </c>
      <c r="J71" s="1" t="s">
        <v>54</v>
      </c>
      <c r="K71" s="1" t="s">
        <v>298</v>
      </c>
      <c r="L71" s="1" t="s">
        <v>299</v>
      </c>
      <c r="M71" s="1" t="s">
        <v>52</v>
      </c>
      <c r="N71" s="1" t="s">
        <v>416</v>
      </c>
      <c r="O71" s="9">
        <v>100</v>
      </c>
      <c r="P71" s="4">
        <v>2</v>
      </c>
      <c r="Q71" s="29">
        <v>2</v>
      </c>
      <c r="R71" t="s">
        <v>921</v>
      </c>
    </row>
    <row r="72" spans="1:18" ht="15.75" thickBot="1" x14ac:dyDescent="0.3">
      <c r="A72" s="18" t="s">
        <v>46</v>
      </c>
      <c r="B72" s="1" t="s">
        <v>445</v>
      </c>
      <c r="C72" s="1" t="s">
        <v>155</v>
      </c>
      <c r="D72" s="1" t="s">
        <v>14</v>
      </c>
      <c r="E72" s="1" t="s">
        <v>47</v>
      </c>
      <c r="F72" s="1" t="s">
        <v>48</v>
      </c>
      <c r="G72" s="1" t="s">
        <v>56</v>
      </c>
      <c r="H72" s="1" t="s">
        <v>450</v>
      </c>
      <c r="I72" s="1" t="s">
        <v>53</v>
      </c>
      <c r="J72" s="1" t="s">
        <v>54</v>
      </c>
      <c r="K72" s="1" t="s">
        <v>300</v>
      </c>
      <c r="L72" s="1" t="s">
        <v>301</v>
      </c>
      <c r="M72" s="1" t="s">
        <v>52</v>
      </c>
      <c r="N72" s="1" t="s">
        <v>164</v>
      </c>
      <c r="O72" s="10">
        <v>100</v>
      </c>
      <c r="P72" s="5">
        <v>8</v>
      </c>
      <c r="Q72" s="30">
        <v>8</v>
      </c>
      <c r="R72" t="s">
        <v>921</v>
      </c>
    </row>
    <row r="73" spans="1:18" ht="15.75" thickBot="1" x14ac:dyDescent="0.3">
      <c r="A73" s="18" t="s">
        <v>46</v>
      </c>
      <c r="B73" s="1" t="s">
        <v>445</v>
      </c>
      <c r="C73" s="1" t="s">
        <v>155</v>
      </c>
      <c r="D73" s="1" t="s">
        <v>14</v>
      </c>
      <c r="E73" s="1" t="s">
        <v>47</v>
      </c>
      <c r="F73" s="1" t="s">
        <v>48</v>
      </c>
      <c r="G73" s="1" t="s">
        <v>56</v>
      </c>
      <c r="H73" s="1" t="s">
        <v>450</v>
      </c>
      <c r="I73" s="1" t="s">
        <v>53</v>
      </c>
      <c r="J73" s="1" t="s">
        <v>54</v>
      </c>
      <c r="K73" s="1" t="s">
        <v>300</v>
      </c>
      <c r="L73" s="1" t="s">
        <v>301</v>
      </c>
      <c r="M73" s="1" t="s">
        <v>52</v>
      </c>
      <c r="N73" s="1" t="s">
        <v>174</v>
      </c>
      <c r="O73" s="9">
        <v>100</v>
      </c>
      <c r="P73" s="4">
        <v>7</v>
      </c>
      <c r="Q73" s="29">
        <v>7</v>
      </c>
      <c r="R73" t="s">
        <v>921</v>
      </c>
    </row>
    <row r="74" spans="1:18" ht="15.75" thickBot="1" x14ac:dyDescent="0.3">
      <c r="A74" s="18" t="s">
        <v>46</v>
      </c>
      <c r="B74" s="1" t="s">
        <v>445</v>
      </c>
      <c r="C74" s="1" t="s">
        <v>155</v>
      </c>
      <c r="D74" s="1" t="s">
        <v>14</v>
      </c>
      <c r="E74" s="1" t="s">
        <v>47</v>
      </c>
      <c r="F74" s="1" t="s">
        <v>48</v>
      </c>
      <c r="G74" s="1" t="s">
        <v>56</v>
      </c>
      <c r="H74" s="1" t="s">
        <v>450</v>
      </c>
      <c r="I74" s="1" t="s">
        <v>53</v>
      </c>
      <c r="J74" s="1" t="s">
        <v>54</v>
      </c>
      <c r="K74" s="1" t="s">
        <v>302</v>
      </c>
      <c r="L74" s="1" t="s">
        <v>303</v>
      </c>
      <c r="M74" s="1" t="s">
        <v>52</v>
      </c>
      <c r="N74" s="1" t="s">
        <v>164</v>
      </c>
      <c r="O74" s="10">
        <v>100</v>
      </c>
      <c r="P74" s="5">
        <v>2</v>
      </c>
      <c r="Q74" s="30">
        <v>2</v>
      </c>
      <c r="R74" t="s">
        <v>921</v>
      </c>
    </row>
    <row r="75" spans="1:18" ht="15.75" thickBot="1" x14ac:dyDescent="0.3">
      <c r="A75" s="18" t="s">
        <v>46</v>
      </c>
      <c r="B75" s="1" t="s">
        <v>445</v>
      </c>
      <c r="C75" s="1" t="s">
        <v>155</v>
      </c>
      <c r="D75" s="1" t="s">
        <v>14</v>
      </c>
      <c r="E75" s="1" t="s">
        <v>47</v>
      </c>
      <c r="F75" s="1" t="s">
        <v>48</v>
      </c>
      <c r="G75" s="1" t="s">
        <v>56</v>
      </c>
      <c r="H75" s="1" t="s">
        <v>450</v>
      </c>
      <c r="I75" s="1" t="s">
        <v>53</v>
      </c>
      <c r="J75" s="1" t="s">
        <v>54</v>
      </c>
      <c r="K75" s="1" t="s">
        <v>302</v>
      </c>
      <c r="L75" s="1" t="s">
        <v>303</v>
      </c>
      <c r="M75" s="1" t="s">
        <v>52</v>
      </c>
      <c r="N75" s="1" t="s">
        <v>174</v>
      </c>
      <c r="O75" s="9">
        <v>100</v>
      </c>
      <c r="P75" s="4">
        <v>1</v>
      </c>
      <c r="Q75" s="29">
        <v>1</v>
      </c>
      <c r="R75" t="s">
        <v>921</v>
      </c>
    </row>
    <row r="76" spans="1:18" ht="15.75" thickBot="1" x14ac:dyDescent="0.3">
      <c r="A76" s="18" t="s">
        <v>46</v>
      </c>
      <c r="B76" s="1" t="s">
        <v>445</v>
      </c>
      <c r="C76" s="1" t="s">
        <v>155</v>
      </c>
      <c r="D76" s="1" t="s">
        <v>14</v>
      </c>
      <c r="E76" s="1" t="s">
        <v>47</v>
      </c>
      <c r="F76" s="1" t="s">
        <v>48</v>
      </c>
      <c r="G76" s="1" t="s">
        <v>56</v>
      </c>
      <c r="H76" s="1" t="s">
        <v>450</v>
      </c>
      <c r="I76" s="1" t="s">
        <v>53</v>
      </c>
      <c r="J76" s="1" t="s">
        <v>54</v>
      </c>
      <c r="K76" s="1" t="s">
        <v>304</v>
      </c>
      <c r="L76" s="1" t="s">
        <v>305</v>
      </c>
      <c r="M76" s="1" t="s">
        <v>52</v>
      </c>
      <c r="N76" s="1" t="s">
        <v>174</v>
      </c>
      <c r="O76" s="10">
        <v>100</v>
      </c>
      <c r="P76" s="5">
        <v>1</v>
      </c>
      <c r="Q76" s="30">
        <v>1</v>
      </c>
      <c r="R76" t="s">
        <v>921</v>
      </c>
    </row>
    <row r="77" spans="1:18" ht="15.75" thickBot="1" x14ac:dyDescent="0.3">
      <c r="A77" s="18" t="s">
        <v>46</v>
      </c>
      <c r="B77" s="1" t="s">
        <v>445</v>
      </c>
      <c r="C77" s="1" t="s">
        <v>155</v>
      </c>
      <c r="D77" s="1" t="s">
        <v>14</v>
      </c>
      <c r="E77" s="1" t="s">
        <v>47</v>
      </c>
      <c r="F77" s="1" t="s">
        <v>48</v>
      </c>
      <c r="G77" s="1" t="s">
        <v>56</v>
      </c>
      <c r="H77" s="1" t="s">
        <v>450</v>
      </c>
      <c r="I77" s="1" t="s">
        <v>53</v>
      </c>
      <c r="J77" s="1" t="s">
        <v>54</v>
      </c>
      <c r="K77" s="1" t="s">
        <v>306</v>
      </c>
      <c r="L77" s="1" t="s">
        <v>307</v>
      </c>
      <c r="M77" s="1" t="s">
        <v>52</v>
      </c>
      <c r="N77" s="1" t="s">
        <v>249</v>
      </c>
      <c r="O77" s="9">
        <v>100</v>
      </c>
      <c r="P77" s="4">
        <v>9</v>
      </c>
      <c r="Q77" s="29">
        <v>9</v>
      </c>
      <c r="R77" t="s">
        <v>921</v>
      </c>
    </row>
    <row r="78" spans="1:18" ht="15.75" thickBot="1" x14ac:dyDescent="0.3">
      <c r="A78" s="18" t="s">
        <v>46</v>
      </c>
      <c r="B78" s="1" t="s">
        <v>445</v>
      </c>
      <c r="C78" s="1" t="s">
        <v>155</v>
      </c>
      <c r="D78" s="1" t="s">
        <v>14</v>
      </c>
      <c r="E78" s="1" t="s">
        <v>47</v>
      </c>
      <c r="F78" s="1" t="s">
        <v>48</v>
      </c>
      <c r="G78" s="1" t="s">
        <v>56</v>
      </c>
      <c r="H78" s="1" t="s">
        <v>450</v>
      </c>
      <c r="I78" s="1" t="s">
        <v>53</v>
      </c>
      <c r="J78" s="1" t="s">
        <v>54</v>
      </c>
      <c r="K78" s="1" t="s">
        <v>308</v>
      </c>
      <c r="L78" s="1" t="s">
        <v>309</v>
      </c>
      <c r="M78" s="1" t="s">
        <v>52</v>
      </c>
      <c r="N78" s="1" t="s">
        <v>400</v>
      </c>
      <c r="O78" s="10">
        <v>0</v>
      </c>
      <c r="P78" s="5">
        <v>0</v>
      </c>
      <c r="Q78" s="30">
        <v>6</v>
      </c>
      <c r="R78" t="s">
        <v>922</v>
      </c>
    </row>
    <row r="79" spans="1:18" ht="15.75" thickBot="1" x14ac:dyDescent="0.3">
      <c r="A79" s="18" t="s">
        <v>46</v>
      </c>
      <c r="B79" s="1" t="s">
        <v>445</v>
      </c>
      <c r="C79" s="1" t="s">
        <v>155</v>
      </c>
      <c r="D79" s="1" t="s">
        <v>14</v>
      </c>
      <c r="E79" s="1" t="s">
        <v>47</v>
      </c>
      <c r="F79" s="1" t="s">
        <v>48</v>
      </c>
      <c r="G79" s="1" t="s">
        <v>56</v>
      </c>
      <c r="H79" s="1" t="s">
        <v>450</v>
      </c>
      <c r="I79" s="1" t="s">
        <v>53</v>
      </c>
      <c r="J79" s="1" t="s">
        <v>54</v>
      </c>
      <c r="K79" s="1" t="s">
        <v>308</v>
      </c>
      <c r="L79" s="1" t="s">
        <v>309</v>
      </c>
      <c r="M79" s="1" t="s">
        <v>52</v>
      </c>
      <c r="N79" s="1" t="s">
        <v>249</v>
      </c>
      <c r="O79" s="9">
        <v>100</v>
      </c>
      <c r="P79" s="4">
        <v>3</v>
      </c>
      <c r="Q79" s="29">
        <v>3</v>
      </c>
      <c r="R79" t="s">
        <v>921</v>
      </c>
    </row>
    <row r="80" spans="1:18" ht="15.75" thickBot="1" x14ac:dyDescent="0.3">
      <c r="A80" s="18" t="s">
        <v>46</v>
      </c>
      <c r="B80" s="1" t="s">
        <v>445</v>
      </c>
      <c r="C80" s="1" t="s">
        <v>155</v>
      </c>
      <c r="D80" s="1" t="s">
        <v>14</v>
      </c>
      <c r="E80" s="1" t="s">
        <v>47</v>
      </c>
      <c r="F80" s="1" t="s">
        <v>48</v>
      </c>
      <c r="G80" s="1" t="s">
        <v>56</v>
      </c>
      <c r="H80" s="1" t="s">
        <v>450</v>
      </c>
      <c r="I80" s="1" t="s">
        <v>53</v>
      </c>
      <c r="J80" s="1" t="s">
        <v>54</v>
      </c>
      <c r="K80" s="1" t="s">
        <v>310</v>
      </c>
      <c r="L80" s="1" t="s">
        <v>311</v>
      </c>
      <c r="M80" s="1" t="s">
        <v>52</v>
      </c>
      <c r="N80" s="1" t="s">
        <v>249</v>
      </c>
      <c r="O80" s="10">
        <v>100</v>
      </c>
      <c r="P80" s="5">
        <v>3</v>
      </c>
      <c r="Q80" s="30">
        <v>3</v>
      </c>
      <c r="R80" t="s">
        <v>921</v>
      </c>
    </row>
    <row r="81" spans="1:18" ht="15.75" thickBot="1" x14ac:dyDescent="0.3">
      <c r="A81" s="18" t="s">
        <v>46</v>
      </c>
      <c r="B81" s="1" t="s">
        <v>445</v>
      </c>
      <c r="C81" s="1" t="s">
        <v>155</v>
      </c>
      <c r="D81" s="1" t="s">
        <v>14</v>
      </c>
      <c r="E81" s="1" t="s">
        <v>47</v>
      </c>
      <c r="F81" s="1" t="s">
        <v>48</v>
      </c>
      <c r="G81" s="1" t="s">
        <v>56</v>
      </c>
      <c r="H81" s="1" t="s">
        <v>450</v>
      </c>
      <c r="I81" s="1" t="s">
        <v>53</v>
      </c>
      <c r="J81" s="1" t="s">
        <v>54</v>
      </c>
      <c r="K81" s="1" t="s">
        <v>310</v>
      </c>
      <c r="L81" s="1" t="s">
        <v>311</v>
      </c>
      <c r="M81" s="1" t="s">
        <v>52</v>
      </c>
      <c r="N81" s="1" t="s">
        <v>416</v>
      </c>
      <c r="O81" s="9">
        <v>100</v>
      </c>
      <c r="P81" s="4">
        <v>1</v>
      </c>
      <c r="Q81" s="29">
        <v>1</v>
      </c>
      <c r="R81" t="s">
        <v>921</v>
      </c>
    </row>
    <row r="82" spans="1:18" ht="15.75" thickBot="1" x14ac:dyDescent="0.3">
      <c r="A82" s="18" t="s">
        <v>46</v>
      </c>
      <c r="B82" s="1" t="s">
        <v>445</v>
      </c>
      <c r="C82" s="1" t="s">
        <v>155</v>
      </c>
      <c r="D82" s="1" t="s">
        <v>14</v>
      </c>
      <c r="E82" s="1" t="s">
        <v>47</v>
      </c>
      <c r="F82" s="1" t="s">
        <v>48</v>
      </c>
      <c r="G82" s="1" t="s">
        <v>56</v>
      </c>
      <c r="H82" s="1" t="s">
        <v>450</v>
      </c>
      <c r="I82" s="1" t="s">
        <v>99</v>
      </c>
      <c r="J82" s="1" t="s">
        <v>100</v>
      </c>
      <c r="K82" s="1" t="s">
        <v>214</v>
      </c>
      <c r="L82" s="1" t="s">
        <v>215</v>
      </c>
      <c r="M82" s="1" t="s">
        <v>52</v>
      </c>
      <c r="N82" s="1" t="s">
        <v>164</v>
      </c>
      <c r="O82" s="10">
        <v>100</v>
      </c>
      <c r="P82" s="5">
        <v>7</v>
      </c>
      <c r="Q82" s="30">
        <v>7</v>
      </c>
      <c r="R82" t="s">
        <v>921</v>
      </c>
    </row>
    <row r="83" spans="1:18" ht="15.75" thickBot="1" x14ac:dyDescent="0.3">
      <c r="A83" s="18" t="s">
        <v>46</v>
      </c>
      <c r="B83" s="1" t="s">
        <v>445</v>
      </c>
      <c r="C83" s="1" t="s">
        <v>155</v>
      </c>
      <c r="D83" s="1" t="s">
        <v>14</v>
      </c>
      <c r="E83" s="1" t="s">
        <v>47</v>
      </c>
      <c r="F83" s="1" t="s">
        <v>48</v>
      </c>
      <c r="G83" s="1" t="s">
        <v>56</v>
      </c>
      <c r="H83" s="1" t="s">
        <v>450</v>
      </c>
      <c r="I83" s="1" t="s">
        <v>99</v>
      </c>
      <c r="J83" s="1" t="s">
        <v>100</v>
      </c>
      <c r="K83" s="1" t="s">
        <v>214</v>
      </c>
      <c r="L83" s="1" t="s">
        <v>215</v>
      </c>
      <c r="M83" s="1" t="s">
        <v>52</v>
      </c>
      <c r="N83" s="1" t="s">
        <v>174</v>
      </c>
      <c r="O83" s="9">
        <v>100</v>
      </c>
      <c r="P83" s="4">
        <v>11</v>
      </c>
      <c r="Q83" s="29">
        <v>11</v>
      </c>
      <c r="R83" t="s">
        <v>921</v>
      </c>
    </row>
    <row r="84" spans="1:18" ht="15.75" thickBot="1" x14ac:dyDescent="0.3">
      <c r="A84" s="18" t="s">
        <v>46</v>
      </c>
      <c r="B84" s="1" t="s">
        <v>445</v>
      </c>
      <c r="C84" s="1" t="s">
        <v>155</v>
      </c>
      <c r="D84" s="1" t="s">
        <v>14</v>
      </c>
      <c r="E84" s="1" t="s">
        <v>47</v>
      </c>
      <c r="F84" s="1" t="s">
        <v>48</v>
      </c>
      <c r="G84" s="1" t="s">
        <v>56</v>
      </c>
      <c r="H84" s="1" t="s">
        <v>450</v>
      </c>
      <c r="I84" s="1" t="s">
        <v>99</v>
      </c>
      <c r="J84" s="1" t="s">
        <v>100</v>
      </c>
      <c r="K84" s="1" t="s">
        <v>217</v>
      </c>
      <c r="L84" s="1" t="s">
        <v>218</v>
      </c>
      <c r="M84" s="1" t="s">
        <v>52</v>
      </c>
      <c r="N84" s="1" t="s">
        <v>164</v>
      </c>
      <c r="O84" s="10">
        <v>100</v>
      </c>
      <c r="P84" s="5">
        <v>13</v>
      </c>
      <c r="Q84" s="30">
        <v>13</v>
      </c>
      <c r="R84" t="s">
        <v>921</v>
      </c>
    </row>
    <row r="85" spans="1:18" ht="15.75" thickBot="1" x14ac:dyDescent="0.3">
      <c r="A85" s="18" t="s">
        <v>46</v>
      </c>
      <c r="B85" s="1" t="s">
        <v>445</v>
      </c>
      <c r="C85" s="1" t="s">
        <v>155</v>
      </c>
      <c r="D85" s="1" t="s">
        <v>14</v>
      </c>
      <c r="E85" s="1" t="s">
        <v>47</v>
      </c>
      <c r="F85" s="1" t="s">
        <v>48</v>
      </c>
      <c r="G85" s="1" t="s">
        <v>56</v>
      </c>
      <c r="H85" s="1" t="s">
        <v>450</v>
      </c>
      <c r="I85" s="1" t="s">
        <v>99</v>
      </c>
      <c r="J85" s="1" t="s">
        <v>100</v>
      </c>
      <c r="K85" s="1" t="s">
        <v>220</v>
      </c>
      <c r="L85" s="1" t="s">
        <v>221</v>
      </c>
      <c r="M85" s="1" t="s">
        <v>52</v>
      </c>
      <c r="N85" s="1" t="s">
        <v>164</v>
      </c>
      <c r="O85" s="9">
        <v>100</v>
      </c>
      <c r="P85" s="4">
        <v>3</v>
      </c>
      <c r="Q85" s="29">
        <v>3</v>
      </c>
      <c r="R85" t="s">
        <v>921</v>
      </c>
    </row>
    <row r="86" spans="1:18" ht="15.75" thickBot="1" x14ac:dyDescent="0.3">
      <c r="A86" s="18" t="s">
        <v>46</v>
      </c>
      <c r="B86" s="1" t="s">
        <v>445</v>
      </c>
      <c r="C86" s="1" t="s">
        <v>155</v>
      </c>
      <c r="D86" s="1" t="s">
        <v>14</v>
      </c>
      <c r="E86" s="1" t="s">
        <v>47</v>
      </c>
      <c r="F86" s="1" t="s">
        <v>48</v>
      </c>
      <c r="G86" s="1" t="s">
        <v>56</v>
      </c>
      <c r="H86" s="1" t="s">
        <v>450</v>
      </c>
      <c r="I86" s="1" t="s">
        <v>99</v>
      </c>
      <c r="J86" s="1" t="s">
        <v>100</v>
      </c>
      <c r="K86" s="1" t="s">
        <v>223</v>
      </c>
      <c r="L86" s="1" t="s">
        <v>224</v>
      </c>
      <c r="M86" s="1" t="s">
        <v>52</v>
      </c>
      <c r="N86" s="1" t="s">
        <v>174</v>
      </c>
      <c r="O86" s="10">
        <v>100</v>
      </c>
      <c r="P86" s="5">
        <v>3</v>
      </c>
      <c r="Q86" s="30">
        <v>3</v>
      </c>
      <c r="R86" t="s">
        <v>921</v>
      </c>
    </row>
    <row r="87" spans="1:18" ht="15.75" thickBot="1" x14ac:dyDescent="0.3">
      <c r="A87" s="18" t="s">
        <v>46</v>
      </c>
      <c r="B87" s="1" t="s">
        <v>445</v>
      </c>
      <c r="C87" s="1" t="s">
        <v>155</v>
      </c>
      <c r="D87" s="1" t="s">
        <v>14</v>
      </c>
      <c r="E87" s="1" t="s">
        <v>47</v>
      </c>
      <c r="F87" s="1" t="s">
        <v>48</v>
      </c>
      <c r="G87" s="1" t="s">
        <v>56</v>
      </c>
      <c r="H87" s="1" t="s">
        <v>450</v>
      </c>
      <c r="I87" s="1" t="s">
        <v>99</v>
      </c>
      <c r="J87" s="1" t="s">
        <v>100</v>
      </c>
      <c r="K87" s="1" t="s">
        <v>226</v>
      </c>
      <c r="L87" s="1" t="s">
        <v>227</v>
      </c>
      <c r="M87" s="1" t="s">
        <v>52</v>
      </c>
      <c r="N87" s="1" t="s">
        <v>164</v>
      </c>
      <c r="O87" s="9">
        <v>100</v>
      </c>
      <c r="P87" s="4">
        <v>4</v>
      </c>
      <c r="Q87" s="29">
        <v>4</v>
      </c>
      <c r="R87" t="s">
        <v>921</v>
      </c>
    </row>
    <row r="88" spans="1:18" ht="15.75" thickBot="1" x14ac:dyDescent="0.3">
      <c r="A88" s="18" t="s">
        <v>46</v>
      </c>
      <c r="B88" s="1" t="s">
        <v>445</v>
      </c>
      <c r="C88" s="1" t="s">
        <v>155</v>
      </c>
      <c r="D88" s="1" t="s">
        <v>14</v>
      </c>
      <c r="E88" s="1" t="s">
        <v>47</v>
      </c>
      <c r="F88" s="1" t="s">
        <v>48</v>
      </c>
      <c r="G88" s="1" t="s">
        <v>56</v>
      </c>
      <c r="H88" s="1" t="s">
        <v>450</v>
      </c>
      <c r="I88" s="1" t="s">
        <v>99</v>
      </c>
      <c r="J88" s="1" t="s">
        <v>100</v>
      </c>
      <c r="K88" s="1" t="s">
        <v>226</v>
      </c>
      <c r="L88" s="1" t="s">
        <v>227</v>
      </c>
      <c r="M88" s="1" t="s">
        <v>52</v>
      </c>
      <c r="N88" s="1" t="s">
        <v>174</v>
      </c>
      <c r="O88" s="10">
        <v>100</v>
      </c>
      <c r="P88" s="5">
        <v>2</v>
      </c>
      <c r="Q88" s="30">
        <v>2</v>
      </c>
      <c r="R88" t="s">
        <v>921</v>
      </c>
    </row>
    <row r="89" spans="1:18" ht="15.75" thickBot="1" x14ac:dyDescent="0.3">
      <c r="A89" s="18" t="s">
        <v>46</v>
      </c>
      <c r="B89" s="1" t="s">
        <v>445</v>
      </c>
      <c r="C89" s="1" t="s">
        <v>155</v>
      </c>
      <c r="D89" s="1" t="s">
        <v>14</v>
      </c>
      <c r="E89" s="1" t="s">
        <v>47</v>
      </c>
      <c r="F89" s="1" t="s">
        <v>48</v>
      </c>
      <c r="G89" s="1" t="s">
        <v>56</v>
      </c>
      <c r="H89" s="1" t="s">
        <v>450</v>
      </c>
      <c r="I89" s="1" t="s">
        <v>99</v>
      </c>
      <c r="J89" s="1" t="s">
        <v>100</v>
      </c>
      <c r="K89" s="1" t="s">
        <v>229</v>
      </c>
      <c r="L89" s="1" t="s">
        <v>230</v>
      </c>
      <c r="M89" s="1" t="s">
        <v>52</v>
      </c>
      <c r="N89" s="1" t="s">
        <v>164</v>
      </c>
      <c r="O89" s="9">
        <v>100</v>
      </c>
      <c r="P89" s="4">
        <v>14</v>
      </c>
      <c r="Q89" s="29">
        <v>14</v>
      </c>
      <c r="R89" t="s">
        <v>921</v>
      </c>
    </row>
    <row r="90" spans="1:18" ht="15.75" thickBot="1" x14ac:dyDescent="0.3">
      <c r="A90" s="18" t="s">
        <v>46</v>
      </c>
      <c r="B90" s="1" t="s">
        <v>445</v>
      </c>
      <c r="C90" s="1" t="s">
        <v>155</v>
      </c>
      <c r="D90" s="1" t="s">
        <v>14</v>
      </c>
      <c r="E90" s="1" t="s">
        <v>47</v>
      </c>
      <c r="F90" s="1" t="s">
        <v>48</v>
      </c>
      <c r="G90" s="1" t="s">
        <v>56</v>
      </c>
      <c r="H90" s="1" t="s">
        <v>450</v>
      </c>
      <c r="I90" s="1" t="s">
        <v>99</v>
      </c>
      <c r="J90" s="1" t="s">
        <v>100</v>
      </c>
      <c r="K90" s="1" t="s">
        <v>232</v>
      </c>
      <c r="L90" s="1" t="s">
        <v>233</v>
      </c>
      <c r="M90" s="1" t="s">
        <v>52</v>
      </c>
      <c r="N90" s="1" t="s">
        <v>164</v>
      </c>
      <c r="O90" s="10">
        <v>100</v>
      </c>
      <c r="P90" s="5">
        <v>14</v>
      </c>
      <c r="Q90" s="30">
        <v>14</v>
      </c>
      <c r="R90" t="s">
        <v>921</v>
      </c>
    </row>
    <row r="91" spans="1:18" ht="15.75" thickBot="1" x14ac:dyDescent="0.3">
      <c r="A91" s="18" t="s">
        <v>46</v>
      </c>
      <c r="B91" s="1" t="s">
        <v>445</v>
      </c>
      <c r="C91" s="1" t="s">
        <v>155</v>
      </c>
      <c r="D91" s="1" t="s">
        <v>14</v>
      </c>
      <c r="E91" s="1" t="s">
        <v>47</v>
      </c>
      <c r="F91" s="1" t="s">
        <v>48</v>
      </c>
      <c r="G91" s="1" t="s">
        <v>56</v>
      </c>
      <c r="H91" s="1" t="s">
        <v>450</v>
      </c>
      <c r="I91" s="1" t="s">
        <v>99</v>
      </c>
      <c r="J91" s="1" t="s">
        <v>100</v>
      </c>
      <c r="K91" s="1" t="s">
        <v>234</v>
      </c>
      <c r="L91" s="1" t="s">
        <v>235</v>
      </c>
      <c r="M91" s="1" t="s">
        <v>52</v>
      </c>
      <c r="N91" s="1" t="s">
        <v>164</v>
      </c>
      <c r="O91" s="9">
        <v>100</v>
      </c>
      <c r="P91" s="4">
        <v>11</v>
      </c>
      <c r="Q91" s="29">
        <v>11</v>
      </c>
      <c r="R91" t="s">
        <v>921</v>
      </c>
    </row>
    <row r="92" spans="1:18" ht="15.75" thickBot="1" x14ac:dyDescent="0.3">
      <c r="A92" s="18" t="s">
        <v>46</v>
      </c>
      <c r="B92" s="1" t="s">
        <v>445</v>
      </c>
      <c r="C92" s="1" t="s">
        <v>155</v>
      </c>
      <c r="D92" s="1" t="s">
        <v>14</v>
      </c>
      <c r="E92" s="1" t="s">
        <v>47</v>
      </c>
      <c r="F92" s="1" t="s">
        <v>48</v>
      </c>
      <c r="G92" s="1" t="s">
        <v>56</v>
      </c>
      <c r="H92" s="1" t="s">
        <v>450</v>
      </c>
      <c r="I92" s="1" t="s">
        <v>99</v>
      </c>
      <c r="J92" s="1" t="s">
        <v>100</v>
      </c>
      <c r="K92" s="1" t="s">
        <v>234</v>
      </c>
      <c r="L92" s="1" t="s">
        <v>235</v>
      </c>
      <c r="M92" s="1" t="s">
        <v>52</v>
      </c>
      <c r="N92" s="1" t="s">
        <v>174</v>
      </c>
      <c r="O92" s="10">
        <v>100</v>
      </c>
      <c r="P92" s="5">
        <v>2</v>
      </c>
      <c r="Q92" s="30">
        <v>2</v>
      </c>
      <c r="R92" t="s">
        <v>921</v>
      </c>
    </row>
    <row r="93" spans="1:18" ht="15.75" thickBot="1" x14ac:dyDescent="0.3">
      <c r="A93" s="18" t="s">
        <v>46</v>
      </c>
      <c r="B93" s="1" t="s">
        <v>445</v>
      </c>
      <c r="C93" s="1" t="s">
        <v>155</v>
      </c>
      <c r="D93" s="1" t="s">
        <v>14</v>
      </c>
      <c r="E93" s="1" t="s">
        <v>47</v>
      </c>
      <c r="F93" s="1" t="s">
        <v>48</v>
      </c>
      <c r="G93" s="1" t="s">
        <v>56</v>
      </c>
      <c r="H93" s="1" t="s">
        <v>450</v>
      </c>
      <c r="I93" s="1" t="s">
        <v>99</v>
      </c>
      <c r="J93" s="1" t="s">
        <v>100</v>
      </c>
      <c r="K93" s="1" t="s">
        <v>236</v>
      </c>
      <c r="L93" s="1" t="s">
        <v>237</v>
      </c>
      <c r="M93" s="1" t="s">
        <v>52</v>
      </c>
      <c r="N93" s="1" t="s">
        <v>164</v>
      </c>
      <c r="O93" s="9">
        <v>100</v>
      </c>
      <c r="P93" s="4">
        <v>2</v>
      </c>
      <c r="Q93" s="29">
        <v>2</v>
      </c>
      <c r="R93" t="s">
        <v>921</v>
      </c>
    </row>
    <row r="94" spans="1:18" ht="15.75" thickBot="1" x14ac:dyDescent="0.3">
      <c r="A94" s="18" t="s">
        <v>46</v>
      </c>
      <c r="B94" s="1" t="s">
        <v>445</v>
      </c>
      <c r="C94" s="1" t="s">
        <v>155</v>
      </c>
      <c r="D94" s="1" t="s">
        <v>14</v>
      </c>
      <c r="E94" s="1" t="s">
        <v>47</v>
      </c>
      <c r="F94" s="1" t="s">
        <v>48</v>
      </c>
      <c r="G94" s="1" t="s">
        <v>56</v>
      </c>
      <c r="H94" s="1" t="s">
        <v>450</v>
      </c>
      <c r="I94" s="1" t="s">
        <v>99</v>
      </c>
      <c r="J94" s="1" t="s">
        <v>100</v>
      </c>
      <c r="K94" s="1" t="s">
        <v>236</v>
      </c>
      <c r="L94" s="1" t="s">
        <v>237</v>
      </c>
      <c r="M94" s="1" t="s">
        <v>52</v>
      </c>
      <c r="N94" s="1" t="s">
        <v>174</v>
      </c>
      <c r="O94" s="10">
        <v>100</v>
      </c>
      <c r="P94" s="5">
        <v>3</v>
      </c>
      <c r="Q94" s="30">
        <v>3</v>
      </c>
      <c r="R94" t="s">
        <v>921</v>
      </c>
    </row>
    <row r="95" spans="1:18" ht="15.75" thickBot="1" x14ac:dyDescent="0.3">
      <c r="A95" s="18" t="s">
        <v>46</v>
      </c>
      <c r="B95" s="1" t="s">
        <v>445</v>
      </c>
      <c r="C95" s="1" t="s">
        <v>155</v>
      </c>
      <c r="D95" s="1" t="s">
        <v>14</v>
      </c>
      <c r="E95" s="1" t="s">
        <v>47</v>
      </c>
      <c r="F95" s="1" t="s">
        <v>48</v>
      </c>
      <c r="G95" s="1" t="s">
        <v>56</v>
      </c>
      <c r="H95" s="1" t="s">
        <v>450</v>
      </c>
      <c r="I95" s="1" t="s">
        <v>99</v>
      </c>
      <c r="J95" s="1" t="s">
        <v>100</v>
      </c>
      <c r="K95" s="1" t="s">
        <v>239</v>
      </c>
      <c r="L95" s="1" t="s">
        <v>240</v>
      </c>
      <c r="M95" s="1" t="s">
        <v>52</v>
      </c>
      <c r="N95" s="1" t="s">
        <v>164</v>
      </c>
      <c r="O95" s="9">
        <v>100</v>
      </c>
      <c r="P95" s="4">
        <v>7</v>
      </c>
      <c r="Q95" s="29">
        <v>7</v>
      </c>
      <c r="R95" t="s">
        <v>921</v>
      </c>
    </row>
    <row r="96" spans="1:18" ht="15.75" thickBot="1" x14ac:dyDescent="0.3">
      <c r="A96" s="18" t="s">
        <v>46</v>
      </c>
      <c r="B96" s="1" t="s">
        <v>445</v>
      </c>
      <c r="C96" s="1" t="s">
        <v>155</v>
      </c>
      <c r="D96" s="1" t="s">
        <v>14</v>
      </c>
      <c r="E96" s="1" t="s">
        <v>47</v>
      </c>
      <c r="F96" s="1" t="s">
        <v>48</v>
      </c>
      <c r="G96" s="1" t="s">
        <v>56</v>
      </c>
      <c r="H96" s="1" t="s">
        <v>450</v>
      </c>
      <c r="I96" s="1" t="s">
        <v>99</v>
      </c>
      <c r="J96" s="1" t="s">
        <v>100</v>
      </c>
      <c r="K96" s="1" t="s">
        <v>242</v>
      </c>
      <c r="L96" s="1" t="s">
        <v>243</v>
      </c>
      <c r="M96" s="1" t="s">
        <v>52</v>
      </c>
      <c r="N96" s="1" t="s">
        <v>164</v>
      </c>
      <c r="O96" s="10">
        <v>100</v>
      </c>
      <c r="P96" s="5">
        <v>7</v>
      </c>
      <c r="Q96" s="30">
        <v>7</v>
      </c>
      <c r="R96" t="s">
        <v>921</v>
      </c>
    </row>
    <row r="97" spans="1:18" ht="15.75" thickBot="1" x14ac:dyDescent="0.3">
      <c r="A97" s="18" t="s">
        <v>46</v>
      </c>
      <c r="B97" s="1" t="s">
        <v>445</v>
      </c>
      <c r="C97" s="1" t="s">
        <v>155</v>
      </c>
      <c r="D97" s="1" t="s">
        <v>14</v>
      </c>
      <c r="E97" s="1" t="s">
        <v>47</v>
      </c>
      <c r="F97" s="1" t="s">
        <v>48</v>
      </c>
      <c r="G97" s="1" t="s">
        <v>56</v>
      </c>
      <c r="H97" s="1" t="s">
        <v>450</v>
      </c>
      <c r="I97" s="1" t="s">
        <v>99</v>
      </c>
      <c r="J97" s="1" t="s">
        <v>100</v>
      </c>
      <c r="K97" s="1" t="s">
        <v>244</v>
      </c>
      <c r="L97" s="1" t="s">
        <v>245</v>
      </c>
      <c r="M97" s="1" t="s">
        <v>52</v>
      </c>
      <c r="N97" s="1" t="s">
        <v>164</v>
      </c>
      <c r="O97" s="9">
        <v>100</v>
      </c>
      <c r="P97" s="4">
        <v>4</v>
      </c>
      <c r="Q97" s="29">
        <v>4</v>
      </c>
      <c r="R97" t="s">
        <v>921</v>
      </c>
    </row>
    <row r="98" spans="1:18" ht="15.75" thickBot="1" x14ac:dyDescent="0.3">
      <c r="A98" s="18" t="s">
        <v>46</v>
      </c>
      <c r="B98" s="1" t="s">
        <v>445</v>
      </c>
      <c r="C98" s="1" t="s">
        <v>155</v>
      </c>
      <c r="D98" s="1" t="s">
        <v>14</v>
      </c>
      <c r="E98" s="1" t="s">
        <v>47</v>
      </c>
      <c r="F98" s="1" t="s">
        <v>48</v>
      </c>
      <c r="G98" s="1" t="s">
        <v>56</v>
      </c>
      <c r="H98" s="1" t="s">
        <v>450</v>
      </c>
      <c r="I98" s="1" t="s">
        <v>99</v>
      </c>
      <c r="J98" s="1" t="s">
        <v>100</v>
      </c>
      <c r="K98" s="1" t="s">
        <v>247</v>
      </c>
      <c r="L98" s="1" t="s">
        <v>248</v>
      </c>
      <c r="M98" s="1" t="s">
        <v>52</v>
      </c>
      <c r="N98" s="1" t="s">
        <v>400</v>
      </c>
      <c r="O98" s="10">
        <v>0</v>
      </c>
      <c r="P98" s="5">
        <v>0</v>
      </c>
      <c r="Q98" s="30">
        <v>6</v>
      </c>
      <c r="R98" t="s">
        <v>922</v>
      </c>
    </row>
    <row r="99" spans="1:18" ht="15.75" thickBot="1" x14ac:dyDescent="0.3">
      <c r="A99" s="18" t="s">
        <v>46</v>
      </c>
      <c r="B99" s="1" t="s">
        <v>445</v>
      </c>
      <c r="C99" s="1" t="s">
        <v>155</v>
      </c>
      <c r="D99" s="1" t="s">
        <v>14</v>
      </c>
      <c r="E99" s="1" t="s">
        <v>47</v>
      </c>
      <c r="F99" s="1" t="s">
        <v>48</v>
      </c>
      <c r="G99" s="1" t="s">
        <v>56</v>
      </c>
      <c r="H99" s="1" t="s">
        <v>450</v>
      </c>
      <c r="I99" s="1" t="s">
        <v>99</v>
      </c>
      <c r="J99" s="1" t="s">
        <v>100</v>
      </c>
      <c r="K99" s="1" t="s">
        <v>247</v>
      </c>
      <c r="L99" s="1" t="s">
        <v>248</v>
      </c>
      <c r="M99" s="1" t="s">
        <v>52</v>
      </c>
      <c r="N99" s="1" t="s">
        <v>249</v>
      </c>
      <c r="O99" s="9">
        <v>100</v>
      </c>
      <c r="P99" s="4">
        <v>13</v>
      </c>
      <c r="Q99" s="29">
        <v>13</v>
      </c>
      <c r="R99" t="s">
        <v>921</v>
      </c>
    </row>
    <row r="100" spans="1:18" ht="15.75" thickBot="1" x14ac:dyDescent="0.3">
      <c r="A100" s="18" t="s">
        <v>46</v>
      </c>
      <c r="B100" s="1" t="s">
        <v>445</v>
      </c>
      <c r="C100" s="1" t="s">
        <v>155</v>
      </c>
      <c r="D100" s="1" t="s">
        <v>14</v>
      </c>
      <c r="E100" s="1" t="s">
        <v>47</v>
      </c>
      <c r="F100" s="1" t="s">
        <v>48</v>
      </c>
      <c r="G100" s="1" t="s">
        <v>56</v>
      </c>
      <c r="H100" s="1" t="s">
        <v>450</v>
      </c>
      <c r="I100" s="1" t="s">
        <v>99</v>
      </c>
      <c r="J100" s="1" t="s">
        <v>100</v>
      </c>
      <c r="K100" s="1" t="s">
        <v>251</v>
      </c>
      <c r="L100" s="1" t="s">
        <v>252</v>
      </c>
      <c r="M100" s="1" t="s">
        <v>52</v>
      </c>
      <c r="N100" s="1" t="s">
        <v>164</v>
      </c>
      <c r="O100" s="10">
        <v>100</v>
      </c>
      <c r="P100" s="5">
        <v>3</v>
      </c>
      <c r="Q100" s="30">
        <v>3</v>
      </c>
      <c r="R100" t="s">
        <v>921</v>
      </c>
    </row>
    <row r="101" spans="1:18" ht="15.75" thickBot="1" x14ac:dyDescent="0.3">
      <c r="A101" s="18" t="s">
        <v>46</v>
      </c>
      <c r="B101" s="1" t="s">
        <v>445</v>
      </c>
      <c r="C101" s="1" t="s">
        <v>155</v>
      </c>
      <c r="D101" s="1" t="s">
        <v>14</v>
      </c>
      <c r="E101" s="1" t="s">
        <v>47</v>
      </c>
      <c r="F101" s="1" t="s">
        <v>48</v>
      </c>
      <c r="G101" s="1" t="s">
        <v>56</v>
      </c>
      <c r="H101" s="1" t="s">
        <v>450</v>
      </c>
      <c r="I101" s="1" t="s">
        <v>99</v>
      </c>
      <c r="J101" s="1" t="s">
        <v>100</v>
      </c>
      <c r="K101" s="1" t="s">
        <v>251</v>
      </c>
      <c r="L101" s="1" t="s">
        <v>252</v>
      </c>
      <c r="M101" s="1" t="s">
        <v>52</v>
      </c>
      <c r="N101" s="1" t="s">
        <v>174</v>
      </c>
      <c r="O101" s="9">
        <v>100</v>
      </c>
      <c r="P101" s="4">
        <v>4</v>
      </c>
      <c r="Q101" s="29">
        <v>4</v>
      </c>
      <c r="R101" t="s">
        <v>921</v>
      </c>
    </row>
    <row r="102" spans="1:18" ht="15.75" thickBot="1" x14ac:dyDescent="0.3">
      <c r="A102" s="18" t="s">
        <v>46</v>
      </c>
      <c r="B102" s="1" t="s">
        <v>445</v>
      </c>
      <c r="C102" s="1" t="s">
        <v>155</v>
      </c>
      <c r="D102" s="1" t="s">
        <v>14</v>
      </c>
      <c r="E102" s="1" t="s">
        <v>47</v>
      </c>
      <c r="F102" s="1" t="s">
        <v>48</v>
      </c>
      <c r="G102" s="1" t="s">
        <v>56</v>
      </c>
      <c r="H102" s="1" t="s">
        <v>450</v>
      </c>
      <c r="I102" s="1" t="s">
        <v>99</v>
      </c>
      <c r="J102" s="1" t="s">
        <v>100</v>
      </c>
      <c r="K102" s="1" t="s">
        <v>254</v>
      </c>
      <c r="L102" s="1" t="s">
        <v>255</v>
      </c>
      <c r="M102" s="1" t="s">
        <v>52</v>
      </c>
      <c r="N102" s="1" t="s">
        <v>164</v>
      </c>
      <c r="O102" s="10">
        <v>100</v>
      </c>
      <c r="P102" s="5">
        <v>3</v>
      </c>
      <c r="Q102" s="30">
        <v>3</v>
      </c>
      <c r="R102" t="s">
        <v>921</v>
      </c>
    </row>
    <row r="103" spans="1:18" ht="15.75" thickBot="1" x14ac:dyDescent="0.3">
      <c r="A103" s="18" t="s">
        <v>46</v>
      </c>
      <c r="B103" s="1" t="s">
        <v>445</v>
      </c>
      <c r="C103" s="1" t="s">
        <v>155</v>
      </c>
      <c r="D103" s="1" t="s">
        <v>14</v>
      </c>
      <c r="E103" s="1" t="s">
        <v>47</v>
      </c>
      <c r="F103" s="1" t="s">
        <v>48</v>
      </c>
      <c r="G103" s="1" t="s">
        <v>56</v>
      </c>
      <c r="H103" s="1" t="s">
        <v>450</v>
      </c>
      <c r="I103" s="1" t="s">
        <v>99</v>
      </c>
      <c r="J103" s="1" t="s">
        <v>100</v>
      </c>
      <c r="K103" s="1" t="s">
        <v>254</v>
      </c>
      <c r="L103" s="1" t="s">
        <v>255</v>
      </c>
      <c r="M103" s="1" t="s">
        <v>52</v>
      </c>
      <c r="N103" s="1" t="s">
        <v>174</v>
      </c>
      <c r="O103" s="9">
        <v>100</v>
      </c>
      <c r="P103" s="4">
        <v>4</v>
      </c>
      <c r="Q103" s="29">
        <v>4</v>
      </c>
      <c r="R103" t="s">
        <v>921</v>
      </c>
    </row>
    <row r="104" spans="1:18" ht="15.75" thickBot="1" x14ac:dyDescent="0.3">
      <c r="A104" s="18" t="s">
        <v>46</v>
      </c>
      <c r="B104" s="1" t="s">
        <v>445</v>
      </c>
      <c r="C104" s="1" t="s">
        <v>155</v>
      </c>
      <c r="D104" s="1" t="s">
        <v>14</v>
      </c>
      <c r="E104" s="1" t="s">
        <v>47</v>
      </c>
      <c r="F104" s="1" t="s">
        <v>48</v>
      </c>
      <c r="G104" s="1" t="s">
        <v>56</v>
      </c>
      <c r="H104" s="1" t="s">
        <v>450</v>
      </c>
      <c r="I104" s="1" t="s">
        <v>99</v>
      </c>
      <c r="J104" s="1" t="s">
        <v>100</v>
      </c>
      <c r="K104" s="1" t="s">
        <v>256</v>
      </c>
      <c r="L104" s="1" t="s">
        <v>257</v>
      </c>
      <c r="M104" s="1" t="s">
        <v>52</v>
      </c>
      <c r="N104" s="1" t="s">
        <v>164</v>
      </c>
      <c r="O104" s="10">
        <v>100</v>
      </c>
      <c r="P104" s="5">
        <v>2</v>
      </c>
      <c r="Q104" s="30">
        <v>2</v>
      </c>
      <c r="R104" t="s">
        <v>921</v>
      </c>
    </row>
    <row r="105" spans="1:18" ht="15.75" thickBot="1" x14ac:dyDescent="0.3">
      <c r="A105" s="18" t="s">
        <v>46</v>
      </c>
      <c r="B105" s="1" t="s">
        <v>445</v>
      </c>
      <c r="C105" s="1" t="s">
        <v>155</v>
      </c>
      <c r="D105" s="1" t="s">
        <v>14</v>
      </c>
      <c r="E105" s="1" t="s">
        <v>47</v>
      </c>
      <c r="F105" s="1" t="s">
        <v>48</v>
      </c>
      <c r="G105" s="1" t="s">
        <v>56</v>
      </c>
      <c r="H105" s="1" t="s">
        <v>450</v>
      </c>
      <c r="I105" s="1" t="s">
        <v>99</v>
      </c>
      <c r="J105" s="1" t="s">
        <v>100</v>
      </c>
      <c r="K105" s="1" t="s">
        <v>256</v>
      </c>
      <c r="L105" s="1" t="s">
        <v>257</v>
      </c>
      <c r="M105" s="1" t="s">
        <v>52</v>
      </c>
      <c r="N105" s="1" t="s">
        <v>174</v>
      </c>
      <c r="O105" s="9">
        <v>100</v>
      </c>
      <c r="P105" s="4">
        <v>2</v>
      </c>
      <c r="Q105" s="29">
        <v>2</v>
      </c>
      <c r="R105" t="s">
        <v>921</v>
      </c>
    </row>
    <row r="106" spans="1:18" ht="15.75" thickBot="1" x14ac:dyDescent="0.3">
      <c r="A106" s="18" t="s">
        <v>46</v>
      </c>
      <c r="B106" s="1" t="s">
        <v>445</v>
      </c>
      <c r="C106" s="1" t="s">
        <v>155</v>
      </c>
      <c r="D106" s="1" t="s">
        <v>14</v>
      </c>
      <c r="E106" s="1" t="s">
        <v>47</v>
      </c>
      <c r="F106" s="1" t="s">
        <v>48</v>
      </c>
      <c r="G106" s="1" t="s">
        <v>56</v>
      </c>
      <c r="H106" s="1" t="s">
        <v>450</v>
      </c>
      <c r="I106" s="1" t="s">
        <v>99</v>
      </c>
      <c r="J106" s="1" t="s">
        <v>100</v>
      </c>
      <c r="K106" s="1" t="s">
        <v>259</v>
      </c>
      <c r="L106" s="1" t="s">
        <v>260</v>
      </c>
      <c r="M106" s="1" t="s">
        <v>52</v>
      </c>
      <c r="N106" s="1" t="s">
        <v>164</v>
      </c>
      <c r="O106" s="10">
        <v>100</v>
      </c>
      <c r="P106" s="5">
        <v>2</v>
      </c>
      <c r="Q106" s="30">
        <v>2</v>
      </c>
      <c r="R106" t="s">
        <v>921</v>
      </c>
    </row>
    <row r="107" spans="1:18" ht="15.75" thickBot="1" x14ac:dyDescent="0.3">
      <c r="A107" s="18" t="s">
        <v>46</v>
      </c>
      <c r="B107" s="1" t="s">
        <v>445</v>
      </c>
      <c r="C107" s="1" t="s">
        <v>155</v>
      </c>
      <c r="D107" s="1" t="s">
        <v>14</v>
      </c>
      <c r="E107" s="1" t="s">
        <v>47</v>
      </c>
      <c r="F107" s="1" t="s">
        <v>48</v>
      </c>
      <c r="G107" s="1" t="s">
        <v>56</v>
      </c>
      <c r="H107" s="1" t="s">
        <v>450</v>
      </c>
      <c r="I107" s="1" t="s">
        <v>99</v>
      </c>
      <c r="J107" s="1" t="s">
        <v>100</v>
      </c>
      <c r="K107" s="1" t="s">
        <v>259</v>
      </c>
      <c r="L107" s="1" t="s">
        <v>260</v>
      </c>
      <c r="M107" s="1" t="s">
        <v>52</v>
      </c>
      <c r="N107" s="1" t="s">
        <v>174</v>
      </c>
      <c r="O107" s="9">
        <v>100</v>
      </c>
      <c r="P107" s="4">
        <v>23</v>
      </c>
      <c r="Q107" s="29">
        <v>23</v>
      </c>
      <c r="R107" t="s">
        <v>921</v>
      </c>
    </row>
    <row r="108" spans="1:18" ht="15.75" thickBot="1" x14ac:dyDescent="0.3">
      <c r="A108" s="18" t="s">
        <v>46</v>
      </c>
      <c r="B108" s="1" t="s">
        <v>445</v>
      </c>
      <c r="C108" s="1" t="s">
        <v>155</v>
      </c>
      <c r="D108" s="1" t="s">
        <v>14</v>
      </c>
      <c r="E108" s="1" t="s">
        <v>47</v>
      </c>
      <c r="F108" s="1" t="s">
        <v>48</v>
      </c>
      <c r="G108" s="1" t="s">
        <v>56</v>
      </c>
      <c r="H108" s="1" t="s">
        <v>450</v>
      </c>
      <c r="I108" s="1" t="s">
        <v>99</v>
      </c>
      <c r="J108" s="1" t="s">
        <v>100</v>
      </c>
      <c r="K108" s="1" t="s">
        <v>262</v>
      </c>
      <c r="L108" s="1" t="s">
        <v>263</v>
      </c>
      <c r="M108" s="1" t="s">
        <v>52</v>
      </c>
      <c r="N108" s="1" t="s">
        <v>164</v>
      </c>
      <c r="O108" s="10">
        <v>100</v>
      </c>
      <c r="P108" s="5">
        <v>4</v>
      </c>
      <c r="Q108" s="30">
        <v>4</v>
      </c>
      <c r="R108" t="s">
        <v>921</v>
      </c>
    </row>
    <row r="109" spans="1:18" ht="15.75" thickBot="1" x14ac:dyDescent="0.3">
      <c r="A109" s="18" t="s">
        <v>46</v>
      </c>
      <c r="B109" s="1" t="s">
        <v>445</v>
      </c>
      <c r="C109" s="1" t="s">
        <v>155</v>
      </c>
      <c r="D109" s="1" t="s">
        <v>14</v>
      </c>
      <c r="E109" s="1" t="s">
        <v>47</v>
      </c>
      <c r="F109" s="1" t="s">
        <v>48</v>
      </c>
      <c r="G109" s="1" t="s">
        <v>56</v>
      </c>
      <c r="H109" s="1" t="s">
        <v>450</v>
      </c>
      <c r="I109" s="1" t="s">
        <v>99</v>
      </c>
      <c r="J109" s="1" t="s">
        <v>100</v>
      </c>
      <c r="K109" s="1" t="s">
        <v>265</v>
      </c>
      <c r="L109" s="1" t="s">
        <v>266</v>
      </c>
      <c r="M109" s="1" t="s">
        <v>52</v>
      </c>
      <c r="N109" s="1" t="s">
        <v>400</v>
      </c>
      <c r="O109" s="9">
        <v>0</v>
      </c>
      <c r="P109" s="4">
        <v>0</v>
      </c>
      <c r="Q109" s="29">
        <v>7</v>
      </c>
      <c r="R109" t="s">
        <v>922</v>
      </c>
    </row>
    <row r="110" spans="1:18" ht="15.75" thickBot="1" x14ac:dyDescent="0.3">
      <c r="A110" s="18" t="s">
        <v>46</v>
      </c>
      <c r="B110" s="1" t="s">
        <v>445</v>
      </c>
      <c r="C110" s="1" t="s">
        <v>155</v>
      </c>
      <c r="D110" s="1" t="s">
        <v>14</v>
      </c>
      <c r="E110" s="1" t="s">
        <v>47</v>
      </c>
      <c r="F110" s="1" t="s">
        <v>48</v>
      </c>
      <c r="G110" s="1" t="s">
        <v>56</v>
      </c>
      <c r="H110" s="1" t="s">
        <v>450</v>
      </c>
      <c r="I110" s="1" t="s">
        <v>99</v>
      </c>
      <c r="J110" s="1" t="s">
        <v>100</v>
      </c>
      <c r="K110" s="1" t="s">
        <v>265</v>
      </c>
      <c r="L110" s="1" t="s">
        <v>266</v>
      </c>
      <c r="M110" s="1" t="s">
        <v>52</v>
      </c>
      <c r="N110" s="1" t="s">
        <v>267</v>
      </c>
      <c r="O110" s="10">
        <v>100</v>
      </c>
      <c r="P110" s="5">
        <v>3</v>
      </c>
      <c r="Q110" s="30">
        <v>3</v>
      </c>
      <c r="R110" t="s">
        <v>921</v>
      </c>
    </row>
    <row r="111" spans="1:18" ht="15.75" thickBot="1" x14ac:dyDescent="0.3">
      <c r="A111" s="18" t="s">
        <v>46</v>
      </c>
      <c r="B111" s="1" t="s">
        <v>445</v>
      </c>
      <c r="C111" s="1" t="s">
        <v>155</v>
      </c>
      <c r="D111" s="1" t="s">
        <v>14</v>
      </c>
      <c r="E111" s="1" t="s">
        <v>47</v>
      </c>
      <c r="F111" s="1" t="s">
        <v>48</v>
      </c>
      <c r="G111" s="1" t="s">
        <v>56</v>
      </c>
      <c r="H111" s="1" t="s">
        <v>450</v>
      </c>
      <c r="I111" s="1" t="s">
        <v>99</v>
      </c>
      <c r="J111" s="1" t="s">
        <v>100</v>
      </c>
      <c r="K111" s="1" t="s">
        <v>265</v>
      </c>
      <c r="L111" s="1" t="s">
        <v>266</v>
      </c>
      <c r="M111" s="1" t="s">
        <v>52</v>
      </c>
      <c r="N111" s="1" t="s">
        <v>249</v>
      </c>
      <c r="O111" s="9">
        <v>41.176470588235297</v>
      </c>
      <c r="P111" s="4">
        <v>7</v>
      </c>
      <c r="Q111" s="29">
        <v>17</v>
      </c>
      <c r="R111" t="s">
        <v>922</v>
      </c>
    </row>
    <row r="112" spans="1:18" ht="15.75" thickBot="1" x14ac:dyDescent="0.3">
      <c r="A112" s="18" t="s">
        <v>46</v>
      </c>
      <c r="B112" s="1" t="s">
        <v>445</v>
      </c>
      <c r="C112" s="1" t="s">
        <v>155</v>
      </c>
      <c r="D112" s="1" t="s">
        <v>14</v>
      </c>
      <c r="E112" s="1" t="s">
        <v>94</v>
      </c>
      <c r="F112" s="1" t="s">
        <v>95</v>
      </c>
      <c r="G112" s="1" t="s">
        <v>56</v>
      </c>
      <c r="H112" s="1" t="s">
        <v>450</v>
      </c>
      <c r="I112" s="1" t="s">
        <v>53</v>
      </c>
      <c r="J112" s="1" t="s">
        <v>54</v>
      </c>
      <c r="K112" s="1" t="s">
        <v>417</v>
      </c>
      <c r="L112" s="1" t="s">
        <v>418</v>
      </c>
      <c r="M112" s="1" t="s">
        <v>52</v>
      </c>
      <c r="N112" s="1" t="s">
        <v>400</v>
      </c>
      <c r="O112" s="9">
        <v>0</v>
      </c>
      <c r="P112" s="4">
        <v>0</v>
      </c>
      <c r="Q112" s="29">
        <v>1</v>
      </c>
      <c r="R112" t="s">
        <v>922</v>
      </c>
    </row>
    <row r="113" spans="1:18" ht="15.75" thickBot="1" x14ac:dyDescent="0.3">
      <c r="A113" s="18" t="s">
        <v>46</v>
      </c>
      <c r="B113" s="1" t="s">
        <v>445</v>
      </c>
      <c r="C113" s="1" t="s">
        <v>155</v>
      </c>
      <c r="D113" s="1" t="s">
        <v>14</v>
      </c>
      <c r="E113" s="1" t="s">
        <v>94</v>
      </c>
      <c r="F113" s="1" t="s">
        <v>95</v>
      </c>
      <c r="G113" s="1" t="s">
        <v>56</v>
      </c>
      <c r="H113" s="1" t="s">
        <v>450</v>
      </c>
      <c r="I113" s="1" t="s">
        <v>53</v>
      </c>
      <c r="J113" s="1" t="s">
        <v>54</v>
      </c>
      <c r="K113" s="1" t="s">
        <v>419</v>
      </c>
      <c r="L113" s="1" t="s">
        <v>420</v>
      </c>
      <c r="M113" s="1" t="s">
        <v>52</v>
      </c>
      <c r="N113" s="1" t="s">
        <v>400</v>
      </c>
      <c r="O113" s="10">
        <v>0</v>
      </c>
      <c r="P113" s="5">
        <v>0</v>
      </c>
      <c r="Q113" s="30">
        <v>1</v>
      </c>
      <c r="R113" t="s">
        <v>922</v>
      </c>
    </row>
    <row r="114" spans="1:18" ht="15.75" thickBot="1" x14ac:dyDescent="0.3">
      <c r="A114" s="18" t="s">
        <v>46</v>
      </c>
      <c r="B114" s="1" t="s">
        <v>445</v>
      </c>
      <c r="C114" s="1" t="s">
        <v>155</v>
      </c>
      <c r="D114" s="1" t="s">
        <v>14</v>
      </c>
      <c r="E114" s="1" t="s">
        <v>94</v>
      </c>
      <c r="F114" s="1" t="s">
        <v>95</v>
      </c>
      <c r="G114" s="1" t="s">
        <v>56</v>
      </c>
      <c r="H114" s="1" t="s">
        <v>450</v>
      </c>
      <c r="I114" s="1" t="s">
        <v>99</v>
      </c>
      <c r="J114" s="1" t="s">
        <v>100</v>
      </c>
      <c r="K114" s="1" t="s">
        <v>421</v>
      </c>
      <c r="L114" s="1" t="s">
        <v>422</v>
      </c>
      <c r="M114" s="1" t="s">
        <v>52</v>
      </c>
      <c r="N114" s="1" t="s">
        <v>403</v>
      </c>
      <c r="O114" s="9">
        <v>0</v>
      </c>
      <c r="P114" s="4">
        <v>0</v>
      </c>
      <c r="Q114" s="29">
        <v>9</v>
      </c>
      <c r="R114" t="s">
        <v>922</v>
      </c>
    </row>
    <row r="115" spans="1:18" ht="15.75" thickBot="1" x14ac:dyDescent="0.3">
      <c r="A115" s="18" t="s">
        <v>46</v>
      </c>
      <c r="B115" s="1" t="s">
        <v>445</v>
      </c>
      <c r="C115" s="1" t="s">
        <v>155</v>
      </c>
      <c r="D115" s="1" t="s">
        <v>14</v>
      </c>
      <c r="E115" s="1" t="s">
        <v>94</v>
      </c>
      <c r="F115" s="1" t="s">
        <v>95</v>
      </c>
      <c r="G115" s="1" t="s">
        <v>56</v>
      </c>
      <c r="H115" s="1" t="s">
        <v>450</v>
      </c>
      <c r="I115" s="1" t="s">
        <v>99</v>
      </c>
      <c r="J115" s="1" t="s">
        <v>100</v>
      </c>
      <c r="K115" s="1" t="s">
        <v>352</v>
      </c>
      <c r="L115" s="1" t="s">
        <v>353</v>
      </c>
      <c r="M115" s="1" t="s">
        <v>52</v>
      </c>
      <c r="N115" s="1" t="s">
        <v>249</v>
      </c>
      <c r="O115" s="10">
        <v>100</v>
      </c>
      <c r="P115" s="5">
        <v>9</v>
      </c>
      <c r="Q115" s="30">
        <v>9</v>
      </c>
      <c r="R115" t="s">
        <v>921</v>
      </c>
    </row>
    <row r="116" spans="1:18" ht="15.75" thickBot="1" x14ac:dyDescent="0.3">
      <c r="A116" s="18" t="s">
        <v>46</v>
      </c>
      <c r="B116" s="1" t="s">
        <v>445</v>
      </c>
      <c r="C116" s="1" t="s">
        <v>155</v>
      </c>
      <c r="D116" s="1" t="s">
        <v>14</v>
      </c>
      <c r="E116" s="1" t="s">
        <v>94</v>
      </c>
      <c r="F116" s="1" t="s">
        <v>95</v>
      </c>
      <c r="G116" s="1" t="s">
        <v>56</v>
      </c>
      <c r="H116" s="1" t="s">
        <v>450</v>
      </c>
      <c r="I116" s="1" t="s">
        <v>99</v>
      </c>
      <c r="J116" s="1" t="s">
        <v>100</v>
      </c>
      <c r="K116" s="1" t="s">
        <v>423</v>
      </c>
      <c r="L116" s="1" t="s">
        <v>424</v>
      </c>
      <c r="M116" s="1" t="s">
        <v>52</v>
      </c>
      <c r="N116" s="1" t="s">
        <v>400</v>
      </c>
      <c r="O116" s="9">
        <v>0</v>
      </c>
      <c r="P116" s="4">
        <v>0</v>
      </c>
      <c r="Q116" s="29">
        <v>9</v>
      </c>
      <c r="R116" t="s">
        <v>922</v>
      </c>
    </row>
    <row r="117" spans="1:18" ht="15.75" thickBot="1" x14ac:dyDescent="0.3">
      <c r="A117" s="18" t="s">
        <v>46</v>
      </c>
      <c r="B117" s="1" t="s">
        <v>445</v>
      </c>
      <c r="C117" s="1" t="s">
        <v>155</v>
      </c>
      <c r="D117" s="1" t="s">
        <v>14</v>
      </c>
      <c r="E117" s="1" t="s">
        <v>94</v>
      </c>
      <c r="F117" s="1" t="s">
        <v>376</v>
      </c>
      <c r="G117" s="1" t="s">
        <v>56</v>
      </c>
      <c r="H117" s="1" t="s">
        <v>450</v>
      </c>
      <c r="I117" s="1" t="s">
        <v>99</v>
      </c>
      <c r="J117" s="1" t="s">
        <v>100</v>
      </c>
      <c r="K117" s="1" t="s">
        <v>377</v>
      </c>
      <c r="L117" s="1" t="s">
        <v>378</v>
      </c>
      <c r="M117" s="1" t="s">
        <v>52</v>
      </c>
      <c r="N117" s="1" t="s">
        <v>174</v>
      </c>
      <c r="O117" s="9">
        <v>100</v>
      </c>
      <c r="P117" s="4">
        <v>1</v>
      </c>
      <c r="Q117" s="29">
        <v>1</v>
      </c>
      <c r="R117" t="s">
        <v>921</v>
      </c>
    </row>
    <row r="118" spans="1:18" ht="15.75" thickBot="1" x14ac:dyDescent="0.3">
      <c r="A118" s="18" t="s">
        <v>46</v>
      </c>
      <c r="B118" s="1" t="s">
        <v>445</v>
      </c>
      <c r="C118" s="1" t="s">
        <v>155</v>
      </c>
      <c r="D118" s="1" t="s">
        <v>14</v>
      </c>
      <c r="E118" s="1" t="s">
        <v>94</v>
      </c>
      <c r="F118" s="1" t="s">
        <v>376</v>
      </c>
      <c r="G118" s="1" t="s">
        <v>56</v>
      </c>
      <c r="H118" s="1" t="s">
        <v>450</v>
      </c>
      <c r="I118" s="1" t="s">
        <v>99</v>
      </c>
      <c r="J118" s="1" t="s">
        <v>100</v>
      </c>
      <c r="K118" s="1" t="s">
        <v>380</v>
      </c>
      <c r="L118" s="1" t="s">
        <v>381</v>
      </c>
      <c r="M118" s="1" t="s">
        <v>52</v>
      </c>
      <c r="N118" s="1" t="s">
        <v>174</v>
      </c>
      <c r="O118" s="10">
        <v>100</v>
      </c>
      <c r="P118" s="5">
        <v>1</v>
      </c>
      <c r="Q118" s="30">
        <v>1</v>
      </c>
      <c r="R118" t="s">
        <v>921</v>
      </c>
    </row>
    <row r="119" spans="1:18" ht="15.75" thickBot="1" x14ac:dyDescent="0.3">
      <c r="A119" s="18" t="s">
        <v>46</v>
      </c>
      <c r="B119" s="1" t="s">
        <v>445</v>
      </c>
      <c r="C119" s="1" t="s">
        <v>155</v>
      </c>
      <c r="D119" s="1" t="s">
        <v>14</v>
      </c>
      <c r="E119" s="1" t="s">
        <v>94</v>
      </c>
      <c r="F119" s="1" t="s">
        <v>376</v>
      </c>
      <c r="G119" s="1" t="s">
        <v>56</v>
      </c>
      <c r="H119" s="1" t="s">
        <v>450</v>
      </c>
      <c r="I119" s="1" t="s">
        <v>99</v>
      </c>
      <c r="J119" s="1" t="s">
        <v>100</v>
      </c>
      <c r="K119" s="1" t="s">
        <v>382</v>
      </c>
      <c r="L119" s="1" t="s">
        <v>383</v>
      </c>
      <c r="M119" s="1" t="s">
        <v>52</v>
      </c>
      <c r="N119" s="1" t="s">
        <v>174</v>
      </c>
      <c r="O119" s="9">
        <v>100</v>
      </c>
      <c r="P119" s="4">
        <v>1</v>
      </c>
      <c r="Q119" s="29">
        <v>1</v>
      </c>
      <c r="R119" t="s">
        <v>921</v>
      </c>
    </row>
    <row r="120" spans="1:18" ht="15.75" thickBot="1" x14ac:dyDescent="0.3">
      <c r="A120" s="18" t="s">
        <v>46</v>
      </c>
      <c r="B120" s="1" t="s">
        <v>445</v>
      </c>
      <c r="C120" s="1" t="s">
        <v>155</v>
      </c>
      <c r="D120" s="1" t="s">
        <v>14</v>
      </c>
      <c r="E120" s="1" t="s">
        <v>94</v>
      </c>
      <c r="F120" s="1" t="s">
        <v>376</v>
      </c>
      <c r="G120" s="1" t="s">
        <v>56</v>
      </c>
      <c r="H120" s="1" t="s">
        <v>450</v>
      </c>
      <c r="I120" s="1" t="s">
        <v>99</v>
      </c>
      <c r="J120" s="1" t="s">
        <v>100</v>
      </c>
      <c r="K120" s="1" t="s">
        <v>384</v>
      </c>
      <c r="L120" s="1" t="s">
        <v>385</v>
      </c>
      <c r="M120" s="1" t="s">
        <v>52</v>
      </c>
      <c r="N120" s="1" t="s">
        <v>174</v>
      </c>
      <c r="O120" s="10">
        <v>100</v>
      </c>
      <c r="P120" s="5">
        <v>1</v>
      </c>
      <c r="Q120" s="30">
        <v>1</v>
      </c>
      <c r="R120" t="s">
        <v>921</v>
      </c>
    </row>
    <row r="121" spans="1:18" x14ac:dyDescent="0.25">
      <c r="A121" s="25" t="s">
        <v>41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6"/>
      <c r="O121" s="31">
        <v>82.352941176470594</v>
      </c>
      <c r="P121" s="32">
        <v>322</v>
      </c>
      <c r="Q121" s="33">
        <v>391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5844-2991-4325-BAAE-164A7F1124CB}">
  <dimension ref="A1:T52"/>
  <sheetViews>
    <sheetView tabSelected="1" topLeftCell="I22" workbookViewId="0">
      <selection activeCell="S2" sqref="S2:S51"/>
    </sheetView>
  </sheetViews>
  <sheetFormatPr baseColWidth="10" defaultRowHeight="15" x14ac:dyDescent="0.25"/>
  <cols>
    <col min="1" max="1" width="30" customWidth="1"/>
    <col min="2" max="2" width="22.140625" customWidth="1"/>
    <col min="3" max="3" width="26.140625" customWidth="1"/>
    <col min="4" max="4" width="23.5703125" customWidth="1"/>
    <col min="5" max="5" width="14.28515625" customWidth="1"/>
    <col min="6" max="7" width="12.28515625" customWidth="1"/>
    <col min="8" max="8" width="16.7109375" customWidth="1"/>
    <col min="9" max="9" width="12.28515625" customWidth="1"/>
    <col min="10" max="10" width="37" customWidth="1"/>
    <col min="11" max="11" width="34.28515625" customWidth="1"/>
    <col min="12" max="12" width="13.28515625" customWidth="1"/>
    <col min="13" max="13" width="34.7109375" customWidth="1"/>
    <col min="14" max="14" width="13.5703125" customWidth="1"/>
    <col min="15" max="15" width="19.42578125" customWidth="1"/>
    <col min="16" max="16" width="11.7109375" customWidth="1"/>
    <col min="17" max="17" width="16.140625" customWidth="1"/>
    <col min="18" max="18" width="31.7109375" customWidth="1"/>
    <col min="19" max="19" width="28.7109375" customWidth="1"/>
  </cols>
  <sheetData>
    <row r="1" spans="1:20" ht="34.5" thickBot="1" x14ac:dyDescent="0.3">
      <c r="A1" s="18" t="s">
        <v>0</v>
      </c>
      <c r="B1" s="1" t="s">
        <v>1</v>
      </c>
      <c r="C1" s="1" t="s">
        <v>2</v>
      </c>
      <c r="D1" s="1" t="s">
        <v>3</v>
      </c>
      <c r="E1" s="17" t="s">
        <v>9</v>
      </c>
      <c r="F1" s="18" t="s">
        <v>465</v>
      </c>
      <c r="G1" s="17" t="s">
        <v>44</v>
      </c>
      <c r="H1" s="18" t="s">
        <v>458</v>
      </c>
      <c r="I1" s="17" t="s">
        <v>10</v>
      </c>
      <c r="J1" s="18" t="s">
        <v>455</v>
      </c>
      <c r="K1" s="1" t="s">
        <v>7</v>
      </c>
      <c r="L1" s="1" t="s">
        <v>43</v>
      </c>
      <c r="M1" s="1" t="s">
        <v>11</v>
      </c>
      <c r="N1" s="24" t="s">
        <v>466</v>
      </c>
      <c r="O1" s="22" t="s">
        <v>425</v>
      </c>
      <c r="P1" s="22" t="s">
        <v>426</v>
      </c>
      <c r="Q1" s="22" t="s">
        <v>427</v>
      </c>
      <c r="R1" s="22" t="s">
        <v>428</v>
      </c>
      <c r="S1" s="23" t="s">
        <v>429</v>
      </c>
      <c r="T1" s="22" t="s">
        <v>453</v>
      </c>
    </row>
    <row r="2" spans="1:20" ht="15.75" thickBot="1" x14ac:dyDescent="0.3">
      <c r="A2" s="18" t="s">
        <v>155</v>
      </c>
      <c r="B2" s="1" t="s">
        <v>14</v>
      </c>
      <c r="C2" s="1" t="s">
        <v>94</v>
      </c>
      <c r="D2" s="1" t="s">
        <v>376</v>
      </c>
      <c r="E2" s="1" t="s">
        <v>22</v>
      </c>
      <c r="F2" s="1" t="s">
        <v>443</v>
      </c>
      <c r="G2" s="1" t="s">
        <v>100</v>
      </c>
      <c r="H2" s="1" t="s">
        <v>99</v>
      </c>
      <c r="I2" s="1" t="s">
        <v>386</v>
      </c>
      <c r="J2" s="1" t="s">
        <v>387</v>
      </c>
      <c r="K2" s="1" t="s">
        <v>432</v>
      </c>
      <c r="L2" s="1" t="s">
        <v>52</v>
      </c>
      <c r="M2" s="1" t="s">
        <v>25</v>
      </c>
      <c r="N2" s="1" t="s">
        <v>444</v>
      </c>
      <c r="O2" s="10">
        <v>100</v>
      </c>
      <c r="P2" s="10">
        <v>1</v>
      </c>
      <c r="Q2" s="10">
        <v>1</v>
      </c>
      <c r="R2" s="5">
        <v>1</v>
      </c>
      <c r="S2" s="20">
        <v>1</v>
      </c>
      <c r="T2" t="s">
        <v>921</v>
      </c>
    </row>
    <row r="3" spans="1:20" ht="15.75" thickBot="1" x14ac:dyDescent="0.3">
      <c r="A3" s="18" t="s">
        <v>155</v>
      </c>
      <c r="B3" s="1" t="s">
        <v>14</v>
      </c>
      <c r="C3" s="1" t="s">
        <v>94</v>
      </c>
      <c r="D3" s="1" t="s">
        <v>376</v>
      </c>
      <c r="E3" s="1" t="s">
        <v>22</v>
      </c>
      <c r="F3" s="1" t="s">
        <v>443</v>
      </c>
      <c r="G3" s="1" t="s">
        <v>100</v>
      </c>
      <c r="H3" s="1" t="s">
        <v>99</v>
      </c>
      <c r="I3" s="1" t="s">
        <v>388</v>
      </c>
      <c r="J3" s="1" t="s">
        <v>389</v>
      </c>
      <c r="K3" s="1" t="s">
        <v>432</v>
      </c>
      <c r="L3" s="1" t="s">
        <v>52</v>
      </c>
      <c r="M3" s="1" t="s">
        <v>25</v>
      </c>
      <c r="N3" s="1" t="s">
        <v>444</v>
      </c>
      <c r="O3" s="9">
        <v>100</v>
      </c>
      <c r="P3" s="9">
        <v>1</v>
      </c>
      <c r="Q3" s="9">
        <v>1</v>
      </c>
      <c r="R3" s="4">
        <v>1</v>
      </c>
      <c r="S3" s="19">
        <v>1</v>
      </c>
      <c r="T3" t="s">
        <v>921</v>
      </c>
    </row>
    <row r="4" spans="1:20" ht="15.75" thickBot="1" x14ac:dyDescent="0.3">
      <c r="A4" s="18" t="s">
        <v>155</v>
      </c>
      <c r="B4" s="1" t="s">
        <v>14</v>
      </c>
      <c r="C4" s="1" t="s">
        <v>94</v>
      </c>
      <c r="D4" s="1" t="s">
        <v>376</v>
      </c>
      <c r="E4" s="1" t="s">
        <v>22</v>
      </c>
      <c r="F4" s="1" t="s">
        <v>443</v>
      </c>
      <c r="G4" s="1" t="s">
        <v>100</v>
      </c>
      <c r="H4" s="1" t="s">
        <v>99</v>
      </c>
      <c r="I4" s="1" t="s">
        <v>390</v>
      </c>
      <c r="J4" s="1" t="s">
        <v>391</v>
      </c>
      <c r="K4" s="1" t="s">
        <v>432</v>
      </c>
      <c r="L4" s="1" t="s">
        <v>52</v>
      </c>
      <c r="M4" s="1" t="s">
        <v>25</v>
      </c>
      <c r="N4" s="1" t="s">
        <v>444</v>
      </c>
      <c r="O4" s="10">
        <v>100</v>
      </c>
      <c r="P4" s="10">
        <v>1</v>
      </c>
      <c r="Q4" s="10">
        <v>1</v>
      </c>
      <c r="R4" s="5">
        <v>1</v>
      </c>
      <c r="S4" s="20">
        <v>1</v>
      </c>
      <c r="T4" t="s">
        <v>921</v>
      </c>
    </row>
    <row r="5" spans="1:20" ht="15.75" thickBot="1" x14ac:dyDescent="0.3">
      <c r="A5" s="18" t="s">
        <v>155</v>
      </c>
      <c r="B5" s="1" t="s">
        <v>14</v>
      </c>
      <c r="C5" s="1" t="s">
        <v>94</v>
      </c>
      <c r="D5" s="1" t="s">
        <v>376</v>
      </c>
      <c r="E5" s="1" t="s">
        <v>22</v>
      </c>
      <c r="F5" s="1" t="s">
        <v>443</v>
      </c>
      <c r="G5" s="1" t="s">
        <v>100</v>
      </c>
      <c r="H5" s="1" t="s">
        <v>99</v>
      </c>
      <c r="I5" s="1" t="s">
        <v>392</v>
      </c>
      <c r="J5" s="1" t="s">
        <v>393</v>
      </c>
      <c r="K5" s="1" t="s">
        <v>432</v>
      </c>
      <c r="L5" s="1" t="s">
        <v>52</v>
      </c>
      <c r="M5" s="1" t="s">
        <v>25</v>
      </c>
      <c r="N5" s="1" t="s">
        <v>444</v>
      </c>
      <c r="O5" s="9">
        <v>100</v>
      </c>
      <c r="P5" s="9">
        <v>1</v>
      </c>
      <c r="Q5" s="9">
        <v>1</v>
      </c>
      <c r="R5" s="4">
        <v>1</v>
      </c>
      <c r="S5" s="19">
        <v>1</v>
      </c>
      <c r="T5" t="s">
        <v>921</v>
      </c>
    </row>
    <row r="6" spans="1:20" ht="15.75" thickBot="1" x14ac:dyDescent="0.3">
      <c r="A6" s="18" t="s">
        <v>155</v>
      </c>
      <c r="B6" s="1" t="s">
        <v>14</v>
      </c>
      <c r="C6" s="1" t="s">
        <v>47</v>
      </c>
      <c r="D6" s="1" t="s">
        <v>48</v>
      </c>
      <c r="E6" s="1" t="s">
        <v>46</v>
      </c>
      <c r="F6" s="1" t="s">
        <v>445</v>
      </c>
      <c r="G6" s="1" t="s">
        <v>100</v>
      </c>
      <c r="H6" s="1" t="s">
        <v>99</v>
      </c>
      <c r="I6" s="1" t="s">
        <v>214</v>
      </c>
      <c r="J6" s="1" t="s">
        <v>215</v>
      </c>
      <c r="K6" s="1" t="s">
        <v>432</v>
      </c>
      <c r="L6" s="1" t="s">
        <v>52</v>
      </c>
      <c r="M6" s="1" t="s">
        <v>56</v>
      </c>
      <c r="N6" s="1" t="s">
        <v>450</v>
      </c>
      <c r="O6" s="10">
        <v>100</v>
      </c>
      <c r="P6" s="10">
        <v>1</v>
      </c>
      <c r="Q6" s="10">
        <v>1</v>
      </c>
      <c r="R6" s="5">
        <v>18</v>
      </c>
      <c r="S6" s="20">
        <v>18</v>
      </c>
      <c r="T6" t="s">
        <v>921</v>
      </c>
    </row>
    <row r="7" spans="1:20" ht="15.75" thickBot="1" x14ac:dyDescent="0.3">
      <c r="A7" s="18" t="s">
        <v>155</v>
      </c>
      <c r="B7" s="1" t="s">
        <v>14</v>
      </c>
      <c r="C7" s="1" t="s">
        <v>15</v>
      </c>
      <c r="D7" s="1" t="s">
        <v>16</v>
      </c>
      <c r="E7" s="1" t="s">
        <v>22</v>
      </c>
      <c r="F7" s="1" t="s">
        <v>443</v>
      </c>
      <c r="G7" s="1" t="s">
        <v>124</v>
      </c>
      <c r="H7" s="1" t="s">
        <v>123</v>
      </c>
      <c r="I7" s="1" t="s">
        <v>169</v>
      </c>
      <c r="J7" s="1" t="s">
        <v>170</v>
      </c>
      <c r="K7" s="1" t="s">
        <v>432</v>
      </c>
      <c r="L7" s="1" t="s">
        <v>52</v>
      </c>
      <c r="M7" s="1" t="s">
        <v>25</v>
      </c>
      <c r="N7" s="1" t="s">
        <v>444</v>
      </c>
      <c r="O7" s="9">
        <v>100</v>
      </c>
      <c r="P7" s="9">
        <v>1</v>
      </c>
      <c r="Q7" s="9">
        <v>1</v>
      </c>
      <c r="R7" s="4">
        <v>1</v>
      </c>
      <c r="S7" s="19">
        <v>1</v>
      </c>
      <c r="T7" t="s">
        <v>921</v>
      </c>
    </row>
    <row r="8" spans="1:20" ht="15.75" thickBot="1" x14ac:dyDescent="0.3">
      <c r="A8" s="18" t="s">
        <v>155</v>
      </c>
      <c r="B8" s="1" t="s">
        <v>14</v>
      </c>
      <c r="C8" s="1" t="s">
        <v>47</v>
      </c>
      <c r="D8" s="1" t="s">
        <v>48</v>
      </c>
      <c r="E8" s="1" t="s">
        <v>46</v>
      </c>
      <c r="F8" s="1" t="s">
        <v>445</v>
      </c>
      <c r="G8" s="1" t="s">
        <v>100</v>
      </c>
      <c r="H8" s="1" t="s">
        <v>99</v>
      </c>
      <c r="I8" s="1" t="s">
        <v>217</v>
      </c>
      <c r="J8" s="1" t="s">
        <v>218</v>
      </c>
      <c r="K8" s="1" t="s">
        <v>432</v>
      </c>
      <c r="L8" s="1" t="s">
        <v>52</v>
      </c>
      <c r="M8" s="1" t="s">
        <v>56</v>
      </c>
      <c r="N8" s="1" t="s">
        <v>450</v>
      </c>
      <c r="O8" s="9">
        <v>100</v>
      </c>
      <c r="P8" s="9">
        <v>1</v>
      </c>
      <c r="Q8" s="9">
        <v>1</v>
      </c>
      <c r="R8" s="4">
        <v>13</v>
      </c>
      <c r="S8" s="19">
        <v>13</v>
      </c>
      <c r="T8" t="s">
        <v>921</v>
      </c>
    </row>
    <row r="9" spans="1:20" ht="15.75" thickBot="1" x14ac:dyDescent="0.3">
      <c r="A9" s="18" t="s">
        <v>155</v>
      </c>
      <c r="B9" s="1" t="s">
        <v>14</v>
      </c>
      <c r="C9" s="1" t="s">
        <v>47</v>
      </c>
      <c r="D9" s="1" t="s">
        <v>48</v>
      </c>
      <c r="E9" s="1" t="s">
        <v>46</v>
      </c>
      <c r="F9" s="1" t="s">
        <v>445</v>
      </c>
      <c r="G9" s="1" t="s">
        <v>100</v>
      </c>
      <c r="H9" s="1" t="s">
        <v>99</v>
      </c>
      <c r="I9" s="1" t="s">
        <v>220</v>
      </c>
      <c r="J9" s="1" t="s">
        <v>221</v>
      </c>
      <c r="K9" s="1" t="s">
        <v>432</v>
      </c>
      <c r="L9" s="1" t="s">
        <v>52</v>
      </c>
      <c r="M9" s="1" t="s">
        <v>56</v>
      </c>
      <c r="N9" s="1" t="s">
        <v>450</v>
      </c>
      <c r="O9" s="10">
        <v>100</v>
      </c>
      <c r="P9" s="10">
        <v>1</v>
      </c>
      <c r="Q9" s="10">
        <v>1</v>
      </c>
      <c r="R9" s="5">
        <v>3</v>
      </c>
      <c r="S9" s="20">
        <v>3</v>
      </c>
      <c r="T9" t="s">
        <v>921</v>
      </c>
    </row>
    <row r="10" spans="1:20" ht="15.75" thickBot="1" x14ac:dyDescent="0.3">
      <c r="A10" s="18" t="s">
        <v>155</v>
      </c>
      <c r="B10" s="1" t="s">
        <v>14</v>
      </c>
      <c r="C10" s="1" t="s">
        <v>15</v>
      </c>
      <c r="D10" s="1" t="s">
        <v>16</v>
      </c>
      <c r="E10" s="1" t="s">
        <v>22</v>
      </c>
      <c r="F10" s="1" t="s">
        <v>443</v>
      </c>
      <c r="G10" s="1" t="s">
        <v>100</v>
      </c>
      <c r="H10" s="1" t="s">
        <v>99</v>
      </c>
      <c r="I10" s="1" t="s">
        <v>430</v>
      </c>
      <c r="J10" s="1" t="s">
        <v>431</v>
      </c>
      <c r="K10" s="1" t="s">
        <v>120</v>
      </c>
      <c r="L10" s="1" t="s">
        <v>52</v>
      </c>
      <c r="M10" s="1" t="s">
        <v>25</v>
      </c>
      <c r="N10" s="1" t="s">
        <v>444</v>
      </c>
      <c r="O10" s="9">
        <v>0</v>
      </c>
      <c r="P10" s="9">
        <v>0</v>
      </c>
      <c r="Q10" s="9">
        <v>1</v>
      </c>
      <c r="R10" s="4">
        <v>0</v>
      </c>
      <c r="S10" s="19">
        <v>20</v>
      </c>
      <c r="T10" t="s">
        <v>922</v>
      </c>
    </row>
    <row r="11" spans="1:20" ht="15.75" thickBot="1" x14ac:dyDescent="0.3">
      <c r="A11" s="18" t="s">
        <v>155</v>
      </c>
      <c r="B11" s="1" t="s">
        <v>14</v>
      </c>
      <c r="C11" s="1" t="s">
        <v>15</v>
      </c>
      <c r="D11" s="1" t="s">
        <v>35</v>
      </c>
      <c r="E11" s="1" t="s">
        <v>22</v>
      </c>
      <c r="F11" s="1" t="s">
        <v>443</v>
      </c>
      <c r="G11" s="1" t="s">
        <v>124</v>
      </c>
      <c r="H11" s="1" t="s">
        <v>123</v>
      </c>
      <c r="I11" s="1" t="s">
        <v>435</v>
      </c>
      <c r="J11" s="1" t="s">
        <v>436</v>
      </c>
      <c r="K11" s="1" t="s">
        <v>432</v>
      </c>
      <c r="L11" s="1" t="s">
        <v>52</v>
      </c>
      <c r="M11" s="1" t="s">
        <v>25</v>
      </c>
      <c r="N11" s="1" t="s">
        <v>444</v>
      </c>
      <c r="O11" s="10">
        <v>100</v>
      </c>
      <c r="P11" s="10">
        <v>1</v>
      </c>
      <c r="Q11" s="10">
        <v>1</v>
      </c>
      <c r="R11" s="5">
        <v>1</v>
      </c>
      <c r="S11" s="20">
        <v>1</v>
      </c>
      <c r="T11" t="s">
        <v>921</v>
      </c>
    </row>
    <row r="12" spans="1:20" ht="15.75" thickBot="1" x14ac:dyDescent="0.3">
      <c r="A12" s="18" t="s">
        <v>155</v>
      </c>
      <c r="B12" s="1" t="s">
        <v>14</v>
      </c>
      <c r="C12" s="1" t="s">
        <v>94</v>
      </c>
      <c r="D12" s="1" t="s">
        <v>376</v>
      </c>
      <c r="E12" s="1" t="s">
        <v>46</v>
      </c>
      <c r="F12" s="1" t="s">
        <v>445</v>
      </c>
      <c r="G12" s="1" t="s">
        <v>100</v>
      </c>
      <c r="H12" s="1" t="s">
        <v>99</v>
      </c>
      <c r="I12" s="1" t="s">
        <v>382</v>
      </c>
      <c r="J12" s="1" t="s">
        <v>383</v>
      </c>
      <c r="K12" s="1" t="s">
        <v>432</v>
      </c>
      <c r="L12" s="1" t="s">
        <v>52</v>
      </c>
      <c r="M12" s="1" t="s">
        <v>56</v>
      </c>
      <c r="N12" s="1" t="s">
        <v>450</v>
      </c>
      <c r="O12" s="10">
        <v>100</v>
      </c>
      <c r="P12" s="10">
        <v>1</v>
      </c>
      <c r="Q12" s="10">
        <v>1</v>
      </c>
      <c r="R12" s="5">
        <v>1</v>
      </c>
      <c r="S12" s="20">
        <v>1</v>
      </c>
      <c r="T12" t="s">
        <v>921</v>
      </c>
    </row>
    <row r="13" spans="1:20" ht="15.75" thickBot="1" x14ac:dyDescent="0.3">
      <c r="A13" s="18" t="s">
        <v>155</v>
      </c>
      <c r="B13" s="1" t="s">
        <v>14</v>
      </c>
      <c r="C13" s="1" t="s">
        <v>94</v>
      </c>
      <c r="D13" s="1" t="s">
        <v>376</v>
      </c>
      <c r="E13" s="1" t="s">
        <v>46</v>
      </c>
      <c r="F13" s="1" t="s">
        <v>445</v>
      </c>
      <c r="G13" s="1" t="s">
        <v>100</v>
      </c>
      <c r="H13" s="1" t="s">
        <v>99</v>
      </c>
      <c r="I13" s="1" t="s">
        <v>384</v>
      </c>
      <c r="J13" s="1" t="s">
        <v>385</v>
      </c>
      <c r="K13" s="1" t="s">
        <v>432</v>
      </c>
      <c r="L13" s="1" t="s">
        <v>52</v>
      </c>
      <c r="M13" s="1" t="s">
        <v>56</v>
      </c>
      <c r="N13" s="1" t="s">
        <v>450</v>
      </c>
      <c r="O13" s="9">
        <v>100</v>
      </c>
      <c r="P13" s="9">
        <v>1</v>
      </c>
      <c r="Q13" s="9">
        <v>1</v>
      </c>
      <c r="R13" s="4">
        <v>1</v>
      </c>
      <c r="S13" s="19">
        <v>1</v>
      </c>
      <c r="T13" t="s">
        <v>921</v>
      </c>
    </row>
    <row r="14" spans="1:20" ht="15.75" thickBot="1" x14ac:dyDescent="0.3">
      <c r="A14" s="18" t="s">
        <v>155</v>
      </c>
      <c r="B14" s="1" t="s">
        <v>14</v>
      </c>
      <c r="C14" s="1" t="s">
        <v>47</v>
      </c>
      <c r="D14" s="1" t="s">
        <v>48</v>
      </c>
      <c r="E14" s="1" t="s">
        <v>46</v>
      </c>
      <c r="F14" s="1" t="s">
        <v>445</v>
      </c>
      <c r="G14" s="1" t="s">
        <v>100</v>
      </c>
      <c r="H14" s="1" t="s">
        <v>99</v>
      </c>
      <c r="I14" s="1" t="s">
        <v>223</v>
      </c>
      <c r="J14" s="1" t="s">
        <v>224</v>
      </c>
      <c r="K14" s="1" t="s">
        <v>432</v>
      </c>
      <c r="L14" s="1" t="s">
        <v>52</v>
      </c>
      <c r="M14" s="1" t="s">
        <v>56</v>
      </c>
      <c r="N14" s="1" t="s">
        <v>450</v>
      </c>
      <c r="O14" s="9">
        <v>100</v>
      </c>
      <c r="P14" s="9">
        <v>1</v>
      </c>
      <c r="Q14" s="9">
        <v>1</v>
      </c>
      <c r="R14" s="4">
        <v>3</v>
      </c>
      <c r="S14" s="19">
        <v>3</v>
      </c>
      <c r="T14" t="s">
        <v>921</v>
      </c>
    </row>
    <row r="15" spans="1:20" ht="15.75" thickBot="1" x14ac:dyDescent="0.3">
      <c r="A15" s="18" t="s">
        <v>155</v>
      </c>
      <c r="B15" s="1" t="s">
        <v>14</v>
      </c>
      <c r="C15" s="1" t="s">
        <v>47</v>
      </c>
      <c r="D15" s="1" t="s">
        <v>48</v>
      </c>
      <c r="E15" s="1" t="s">
        <v>46</v>
      </c>
      <c r="F15" s="1" t="s">
        <v>445</v>
      </c>
      <c r="G15" s="1" t="s">
        <v>100</v>
      </c>
      <c r="H15" s="1" t="s">
        <v>99</v>
      </c>
      <c r="I15" s="1" t="s">
        <v>226</v>
      </c>
      <c r="J15" s="1" t="s">
        <v>227</v>
      </c>
      <c r="K15" s="1" t="s">
        <v>432</v>
      </c>
      <c r="L15" s="1" t="s">
        <v>52</v>
      </c>
      <c r="M15" s="1" t="s">
        <v>56</v>
      </c>
      <c r="N15" s="1" t="s">
        <v>450</v>
      </c>
      <c r="O15" s="10">
        <v>100</v>
      </c>
      <c r="P15" s="10">
        <v>1</v>
      </c>
      <c r="Q15" s="10">
        <v>1</v>
      </c>
      <c r="R15" s="5">
        <v>6</v>
      </c>
      <c r="S15" s="20">
        <v>6</v>
      </c>
      <c r="T15" t="s">
        <v>921</v>
      </c>
    </row>
    <row r="16" spans="1:20" ht="15.75" thickBot="1" x14ac:dyDescent="0.3">
      <c r="A16" s="18" t="s">
        <v>155</v>
      </c>
      <c r="B16" s="1" t="s">
        <v>14</v>
      </c>
      <c r="C16" s="1" t="s">
        <v>47</v>
      </c>
      <c r="D16" s="1" t="s">
        <v>48</v>
      </c>
      <c r="E16" s="1" t="s">
        <v>46</v>
      </c>
      <c r="F16" s="1" t="s">
        <v>445</v>
      </c>
      <c r="G16" s="1" t="s">
        <v>100</v>
      </c>
      <c r="H16" s="1" t="s">
        <v>99</v>
      </c>
      <c r="I16" s="1" t="s">
        <v>229</v>
      </c>
      <c r="J16" s="1" t="s">
        <v>230</v>
      </c>
      <c r="K16" s="1" t="s">
        <v>432</v>
      </c>
      <c r="L16" s="1" t="s">
        <v>52</v>
      </c>
      <c r="M16" s="1" t="s">
        <v>56</v>
      </c>
      <c r="N16" s="1" t="s">
        <v>450</v>
      </c>
      <c r="O16" s="9">
        <v>100</v>
      </c>
      <c r="P16" s="9">
        <v>1</v>
      </c>
      <c r="Q16" s="9">
        <v>1</v>
      </c>
      <c r="R16" s="4">
        <v>14</v>
      </c>
      <c r="S16" s="19">
        <v>14</v>
      </c>
      <c r="T16" t="s">
        <v>921</v>
      </c>
    </row>
    <row r="17" spans="1:20" ht="15.75" thickBot="1" x14ac:dyDescent="0.3">
      <c r="A17" s="18" t="s">
        <v>155</v>
      </c>
      <c r="B17" s="1" t="s">
        <v>14</v>
      </c>
      <c r="C17" s="1" t="s">
        <v>47</v>
      </c>
      <c r="D17" s="1" t="s">
        <v>48</v>
      </c>
      <c r="E17" s="1" t="s">
        <v>46</v>
      </c>
      <c r="F17" s="1" t="s">
        <v>445</v>
      </c>
      <c r="G17" s="1" t="s">
        <v>100</v>
      </c>
      <c r="H17" s="1" t="s">
        <v>99</v>
      </c>
      <c r="I17" s="1" t="s">
        <v>232</v>
      </c>
      <c r="J17" s="1" t="s">
        <v>233</v>
      </c>
      <c r="K17" s="1" t="s">
        <v>432</v>
      </c>
      <c r="L17" s="1" t="s">
        <v>52</v>
      </c>
      <c r="M17" s="1" t="s">
        <v>56</v>
      </c>
      <c r="N17" s="1" t="s">
        <v>450</v>
      </c>
      <c r="O17" s="10">
        <v>100</v>
      </c>
      <c r="P17" s="10">
        <v>1</v>
      </c>
      <c r="Q17" s="10">
        <v>1</v>
      </c>
      <c r="R17" s="5">
        <v>14</v>
      </c>
      <c r="S17" s="20">
        <v>14</v>
      </c>
      <c r="T17" t="s">
        <v>921</v>
      </c>
    </row>
    <row r="18" spans="1:20" ht="15.75" thickBot="1" x14ac:dyDescent="0.3">
      <c r="A18" s="18" t="s">
        <v>155</v>
      </c>
      <c r="B18" s="1" t="s">
        <v>14</v>
      </c>
      <c r="C18" s="1" t="s">
        <v>47</v>
      </c>
      <c r="D18" s="1" t="s">
        <v>48</v>
      </c>
      <c r="E18" s="1" t="s">
        <v>46</v>
      </c>
      <c r="F18" s="1" t="s">
        <v>445</v>
      </c>
      <c r="G18" s="1" t="s">
        <v>100</v>
      </c>
      <c r="H18" s="1" t="s">
        <v>99</v>
      </c>
      <c r="I18" s="1" t="s">
        <v>234</v>
      </c>
      <c r="J18" s="1" t="s">
        <v>235</v>
      </c>
      <c r="K18" s="1" t="s">
        <v>432</v>
      </c>
      <c r="L18" s="1" t="s">
        <v>52</v>
      </c>
      <c r="M18" s="1" t="s">
        <v>56</v>
      </c>
      <c r="N18" s="1" t="s">
        <v>450</v>
      </c>
      <c r="O18" s="9">
        <v>100</v>
      </c>
      <c r="P18" s="9">
        <v>1</v>
      </c>
      <c r="Q18" s="9">
        <v>1</v>
      </c>
      <c r="R18" s="4">
        <v>13</v>
      </c>
      <c r="S18" s="19">
        <v>13</v>
      </c>
      <c r="T18" t="s">
        <v>921</v>
      </c>
    </row>
    <row r="19" spans="1:20" ht="15.75" thickBot="1" x14ac:dyDescent="0.3">
      <c r="A19" s="18" t="s">
        <v>155</v>
      </c>
      <c r="B19" s="1" t="s">
        <v>14</v>
      </c>
      <c r="C19" s="1" t="s">
        <v>47</v>
      </c>
      <c r="D19" s="1" t="s">
        <v>48</v>
      </c>
      <c r="E19" s="1" t="s">
        <v>46</v>
      </c>
      <c r="F19" s="1" t="s">
        <v>445</v>
      </c>
      <c r="G19" s="1" t="s">
        <v>100</v>
      </c>
      <c r="H19" s="1" t="s">
        <v>99</v>
      </c>
      <c r="I19" s="1" t="s">
        <v>236</v>
      </c>
      <c r="J19" s="1" t="s">
        <v>237</v>
      </c>
      <c r="K19" s="1" t="s">
        <v>432</v>
      </c>
      <c r="L19" s="1" t="s">
        <v>52</v>
      </c>
      <c r="M19" s="1" t="s">
        <v>56</v>
      </c>
      <c r="N19" s="1" t="s">
        <v>450</v>
      </c>
      <c r="O19" s="10">
        <v>100</v>
      </c>
      <c r="P19" s="10">
        <v>1</v>
      </c>
      <c r="Q19" s="10">
        <v>1</v>
      </c>
      <c r="R19" s="5">
        <v>5</v>
      </c>
      <c r="S19" s="20">
        <v>5</v>
      </c>
      <c r="T19" t="s">
        <v>921</v>
      </c>
    </row>
    <row r="20" spans="1:20" ht="15.75" thickBot="1" x14ac:dyDescent="0.3">
      <c r="A20" s="18" t="s">
        <v>155</v>
      </c>
      <c r="B20" s="1" t="s">
        <v>14</v>
      </c>
      <c r="C20" s="1" t="s">
        <v>47</v>
      </c>
      <c r="D20" s="1" t="s">
        <v>48</v>
      </c>
      <c r="E20" s="1" t="s">
        <v>46</v>
      </c>
      <c r="F20" s="1" t="s">
        <v>445</v>
      </c>
      <c r="G20" s="1" t="s">
        <v>100</v>
      </c>
      <c r="H20" s="1" t="s">
        <v>99</v>
      </c>
      <c r="I20" s="1" t="s">
        <v>239</v>
      </c>
      <c r="J20" s="1" t="s">
        <v>240</v>
      </c>
      <c r="K20" s="1" t="s">
        <v>432</v>
      </c>
      <c r="L20" s="1" t="s">
        <v>52</v>
      </c>
      <c r="M20" s="1" t="s">
        <v>56</v>
      </c>
      <c r="N20" s="1" t="s">
        <v>450</v>
      </c>
      <c r="O20" s="9">
        <v>100</v>
      </c>
      <c r="P20" s="9">
        <v>1</v>
      </c>
      <c r="Q20" s="9">
        <v>1</v>
      </c>
      <c r="R20" s="4">
        <v>7</v>
      </c>
      <c r="S20" s="19">
        <v>7</v>
      </c>
      <c r="T20" t="s">
        <v>921</v>
      </c>
    </row>
    <row r="21" spans="1:20" ht="15.75" thickBot="1" x14ac:dyDescent="0.3">
      <c r="A21" s="18" t="s">
        <v>155</v>
      </c>
      <c r="B21" s="1" t="s">
        <v>14</v>
      </c>
      <c r="C21" s="1" t="s">
        <v>47</v>
      </c>
      <c r="D21" s="1" t="s">
        <v>48</v>
      </c>
      <c r="E21" s="1" t="s">
        <v>46</v>
      </c>
      <c r="F21" s="1" t="s">
        <v>445</v>
      </c>
      <c r="G21" s="1" t="s">
        <v>100</v>
      </c>
      <c r="H21" s="1" t="s">
        <v>99</v>
      </c>
      <c r="I21" s="1" t="s">
        <v>242</v>
      </c>
      <c r="J21" s="1" t="s">
        <v>243</v>
      </c>
      <c r="K21" s="1" t="s">
        <v>432</v>
      </c>
      <c r="L21" s="1" t="s">
        <v>52</v>
      </c>
      <c r="M21" s="1" t="s">
        <v>56</v>
      </c>
      <c r="N21" s="1" t="s">
        <v>450</v>
      </c>
      <c r="O21" s="10">
        <v>100</v>
      </c>
      <c r="P21" s="10">
        <v>1</v>
      </c>
      <c r="Q21" s="10">
        <v>1</v>
      </c>
      <c r="R21" s="5">
        <v>7</v>
      </c>
      <c r="S21" s="20">
        <v>7</v>
      </c>
      <c r="T21" t="s">
        <v>921</v>
      </c>
    </row>
    <row r="22" spans="1:20" ht="15.75" thickBot="1" x14ac:dyDescent="0.3">
      <c r="A22" s="18" t="s">
        <v>155</v>
      </c>
      <c r="B22" s="1" t="s">
        <v>14</v>
      </c>
      <c r="C22" s="1" t="s">
        <v>47</v>
      </c>
      <c r="D22" s="1" t="s">
        <v>48</v>
      </c>
      <c r="E22" s="1" t="s">
        <v>46</v>
      </c>
      <c r="F22" s="1" t="s">
        <v>445</v>
      </c>
      <c r="G22" s="1" t="s">
        <v>100</v>
      </c>
      <c r="H22" s="1" t="s">
        <v>99</v>
      </c>
      <c r="I22" s="1" t="s">
        <v>244</v>
      </c>
      <c r="J22" s="1" t="s">
        <v>245</v>
      </c>
      <c r="K22" s="1" t="s">
        <v>432</v>
      </c>
      <c r="L22" s="1" t="s">
        <v>52</v>
      </c>
      <c r="M22" s="1" t="s">
        <v>56</v>
      </c>
      <c r="N22" s="1" t="s">
        <v>450</v>
      </c>
      <c r="O22" s="9">
        <v>100</v>
      </c>
      <c r="P22" s="9">
        <v>1</v>
      </c>
      <c r="Q22" s="9">
        <v>1</v>
      </c>
      <c r="R22" s="4">
        <v>4</v>
      </c>
      <c r="S22" s="19">
        <v>4</v>
      </c>
      <c r="T22" t="s">
        <v>921</v>
      </c>
    </row>
    <row r="23" spans="1:20" ht="15.75" thickBot="1" x14ac:dyDescent="0.3">
      <c r="A23" s="18" t="s">
        <v>155</v>
      </c>
      <c r="B23" s="1" t="s">
        <v>14</v>
      </c>
      <c r="C23" s="1" t="s">
        <v>15</v>
      </c>
      <c r="D23" s="1" t="s">
        <v>35</v>
      </c>
      <c r="E23" s="1" t="s">
        <v>22</v>
      </c>
      <c r="F23" s="1" t="s">
        <v>443</v>
      </c>
      <c r="G23" s="1" t="s">
        <v>100</v>
      </c>
      <c r="H23" s="1" t="s">
        <v>99</v>
      </c>
      <c r="I23" s="1" t="s">
        <v>187</v>
      </c>
      <c r="J23" s="1" t="s">
        <v>188</v>
      </c>
      <c r="K23" s="1" t="s">
        <v>432</v>
      </c>
      <c r="L23" s="1" t="s">
        <v>52</v>
      </c>
      <c r="M23" s="1" t="s">
        <v>25</v>
      </c>
      <c r="N23" s="1" t="s">
        <v>444</v>
      </c>
      <c r="O23" s="9">
        <v>100</v>
      </c>
      <c r="P23" s="9">
        <v>1</v>
      </c>
      <c r="Q23" s="9">
        <v>1</v>
      </c>
      <c r="R23" s="4">
        <v>1</v>
      </c>
      <c r="S23" s="19">
        <v>1</v>
      </c>
      <c r="T23" t="s">
        <v>921</v>
      </c>
    </row>
    <row r="24" spans="1:20" ht="15.75" thickBot="1" x14ac:dyDescent="0.3">
      <c r="A24" s="18" t="s">
        <v>155</v>
      </c>
      <c r="B24" s="1" t="s">
        <v>14</v>
      </c>
      <c r="C24" s="1" t="s">
        <v>15</v>
      </c>
      <c r="D24" s="1" t="s">
        <v>35</v>
      </c>
      <c r="E24" s="1" t="s">
        <v>22</v>
      </c>
      <c r="F24" s="1" t="s">
        <v>443</v>
      </c>
      <c r="G24" s="1" t="s">
        <v>100</v>
      </c>
      <c r="H24" s="1" t="s">
        <v>99</v>
      </c>
      <c r="I24" s="1" t="s">
        <v>190</v>
      </c>
      <c r="J24" s="1" t="s">
        <v>191</v>
      </c>
      <c r="K24" s="1" t="s">
        <v>432</v>
      </c>
      <c r="L24" s="1" t="s">
        <v>52</v>
      </c>
      <c r="M24" s="1" t="s">
        <v>25</v>
      </c>
      <c r="N24" s="1" t="s">
        <v>444</v>
      </c>
      <c r="O24" s="10">
        <v>100</v>
      </c>
      <c r="P24" s="10">
        <v>1</v>
      </c>
      <c r="Q24" s="10">
        <v>1</v>
      </c>
      <c r="R24" s="5">
        <v>1</v>
      </c>
      <c r="S24" s="20">
        <v>1</v>
      </c>
      <c r="T24" t="s">
        <v>921</v>
      </c>
    </row>
    <row r="25" spans="1:20" ht="15.75" thickBot="1" x14ac:dyDescent="0.3">
      <c r="A25" s="18" t="s">
        <v>155</v>
      </c>
      <c r="B25" s="1" t="s">
        <v>14</v>
      </c>
      <c r="C25" s="1" t="s">
        <v>15</v>
      </c>
      <c r="D25" s="1" t="s">
        <v>35</v>
      </c>
      <c r="E25" s="1" t="s">
        <v>22</v>
      </c>
      <c r="F25" s="1" t="s">
        <v>443</v>
      </c>
      <c r="G25" s="1" t="s">
        <v>100</v>
      </c>
      <c r="H25" s="1" t="s">
        <v>99</v>
      </c>
      <c r="I25" s="1" t="s">
        <v>192</v>
      </c>
      <c r="J25" s="1" t="s">
        <v>193</v>
      </c>
      <c r="K25" s="1" t="s">
        <v>432</v>
      </c>
      <c r="L25" s="1" t="s">
        <v>52</v>
      </c>
      <c r="M25" s="1" t="s">
        <v>25</v>
      </c>
      <c r="N25" s="1" t="s">
        <v>444</v>
      </c>
      <c r="O25" s="9">
        <v>100</v>
      </c>
      <c r="P25" s="9">
        <v>1</v>
      </c>
      <c r="Q25" s="9">
        <v>1</v>
      </c>
      <c r="R25" s="4">
        <v>1</v>
      </c>
      <c r="S25" s="19">
        <v>1</v>
      </c>
      <c r="T25" t="s">
        <v>921</v>
      </c>
    </row>
    <row r="26" spans="1:20" ht="15.75" thickBot="1" x14ac:dyDescent="0.3">
      <c r="A26" s="18" t="s">
        <v>155</v>
      </c>
      <c r="B26" s="1" t="s">
        <v>14</v>
      </c>
      <c r="C26" s="1" t="s">
        <v>15</v>
      </c>
      <c r="D26" s="1" t="s">
        <v>35</v>
      </c>
      <c r="E26" s="1" t="s">
        <v>22</v>
      </c>
      <c r="F26" s="1" t="s">
        <v>443</v>
      </c>
      <c r="G26" s="1" t="s">
        <v>100</v>
      </c>
      <c r="H26" s="1" t="s">
        <v>99</v>
      </c>
      <c r="I26" s="1" t="s">
        <v>195</v>
      </c>
      <c r="J26" s="1" t="s">
        <v>196</v>
      </c>
      <c r="K26" s="1" t="s">
        <v>432</v>
      </c>
      <c r="L26" s="1" t="s">
        <v>52</v>
      </c>
      <c r="M26" s="1" t="s">
        <v>25</v>
      </c>
      <c r="N26" s="1" t="s">
        <v>444</v>
      </c>
      <c r="O26" s="10">
        <v>100</v>
      </c>
      <c r="P26" s="10">
        <v>1</v>
      </c>
      <c r="Q26" s="10">
        <v>1</v>
      </c>
      <c r="R26" s="5">
        <v>1</v>
      </c>
      <c r="S26" s="20">
        <v>1</v>
      </c>
      <c r="T26" t="s">
        <v>921</v>
      </c>
    </row>
    <row r="27" spans="1:20" ht="15.75" thickBot="1" x14ac:dyDescent="0.3">
      <c r="A27" s="18" t="s">
        <v>155</v>
      </c>
      <c r="B27" s="1" t="s">
        <v>14</v>
      </c>
      <c r="C27" s="1" t="s">
        <v>94</v>
      </c>
      <c r="D27" s="1" t="s">
        <v>131</v>
      </c>
      <c r="E27" s="1" t="s">
        <v>22</v>
      </c>
      <c r="F27" s="1" t="s">
        <v>443</v>
      </c>
      <c r="G27" s="1" t="s">
        <v>124</v>
      </c>
      <c r="H27" s="1" t="s">
        <v>123</v>
      </c>
      <c r="I27" s="1" t="s">
        <v>360</v>
      </c>
      <c r="J27" s="1" t="s">
        <v>133</v>
      </c>
      <c r="K27" s="1" t="s">
        <v>432</v>
      </c>
      <c r="L27" s="1" t="s">
        <v>52</v>
      </c>
      <c r="M27" s="1" t="s">
        <v>25</v>
      </c>
      <c r="N27" s="1" t="s">
        <v>444</v>
      </c>
      <c r="O27" s="10">
        <v>100</v>
      </c>
      <c r="P27" s="10">
        <v>1</v>
      </c>
      <c r="Q27" s="10">
        <v>1</v>
      </c>
      <c r="R27" s="5">
        <v>1</v>
      </c>
      <c r="S27" s="20">
        <v>1</v>
      </c>
      <c r="T27" t="s">
        <v>921</v>
      </c>
    </row>
    <row r="28" spans="1:20" ht="15.75" thickBot="1" x14ac:dyDescent="0.3">
      <c r="A28" s="18" t="s">
        <v>155</v>
      </c>
      <c r="B28" s="1" t="s">
        <v>14</v>
      </c>
      <c r="C28" s="1" t="s">
        <v>94</v>
      </c>
      <c r="D28" s="1" t="s">
        <v>131</v>
      </c>
      <c r="E28" s="1" t="s">
        <v>22</v>
      </c>
      <c r="F28" s="1" t="s">
        <v>443</v>
      </c>
      <c r="G28" s="1" t="s">
        <v>124</v>
      </c>
      <c r="H28" s="1" t="s">
        <v>123</v>
      </c>
      <c r="I28" s="1" t="s">
        <v>361</v>
      </c>
      <c r="J28" s="1" t="s">
        <v>135</v>
      </c>
      <c r="K28" s="1" t="s">
        <v>432</v>
      </c>
      <c r="L28" s="1" t="s">
        <v>52</v>
      </c>
      <c r="M28" s="1" t="s">
        <v>25</v>
      </c>
      <c r="N28" s="1" t="s">
        <v>444</v>
      </c>
      <c r="O28" s="9">
        <v>100</v>
      </c>
      <c r="P28" s="9">
        <v>1</v>
      </c>
      <c r="Q28" s="9">
        <v>1</v>
      </c>
      <c r="R28" s="4">
        <v>1</v>
      </c>
      <c r="S28" s="19">
        <v>1</v>
      </c>
      <c r="T28" t="s">
        <v>921</v>
      </c>
    </row>
    <row r="29" spans="1:20" ht="15.75" thickBot="1" x14ac:dyDescent="0.3">
      <c r="A29" s="18" t="s">
        <v>155</v>
      </c>
      <c r="B29" s="1" t="s">
        <v>14</v>
      </c>
      <c r="C29" s="1" t="s">
        <v>94</v>
      </c>
      <c r="D29" s="1" t="s">
        <v>131</v>
      </c>
      <c r="E29" s="1" t="s">
        <v>22</v>
      </c>
      <c r="F29" s="1" t="s">
        <v>443</v>
      </c>
      <c r="G29" s="1" t="s">
        <v>124</v>
      </c>
      <c r="H29" s="1" t="s">
        <v>123</v>
      </c>
      <c r="I29" s="1" t="s">
        <v>362</v>
      </c>
      <c r="J29" s="1" t="s">
        <v>137</v>
      </c>
      <c r="K29" s="1" t="s">
        <v>432</v>
      </c>
      <c r="L29" s="1" t="s">
        <v>52</v>
      </c>
      <c r="M29" s="1" t="s">
        <v>25</v>
      </c>
      <c r="N29" s="1" t="s">
        <v>444</v>
      </c>
      <c r="O29" s="10">
        <v>100</v>
      </c>
      <c r="P29" s="10">
        <v>1</v>
      </c>
      <c r="Q29" s="10">
        <v>1</v>
      </c>
      <c r="R29" s="5">
        <v>1</v>
      </c>
      <c r="S29" s="20">
        <v>1</v>
      </c>
      <c r="T29" t="s">
        <v>921</v>
      </c>
    </row>
    <row r="30" spans="1:20" ht="15.75" thickBot="1" x14ac:dyDescent="0.3">
      <c r="A30" s="18" t="s">
        <v>155</v>
      </c>
      <c r="B30" s="1" t="s">
        <v>14</v>
      </c>
      <c r="C30" s="1" t="s">
        <v>94</v>
      </c>
      <c r="D30" s="1" t="s">
        <v>131</v>
      </c>
      <c r="E30" s="1" t="s">
        <v>22</v>
      </c>
      <c r="F30" s="1" t="s">
        <v>443</v>
      </c>
      <c r="G30" s="1" t="s">
        <v>124</v>
      </c>
      <c r="H30" s="1" t="s">
        <v>123</v>
      </c>
      <c r="I30" s="1" t="s">
        <v>363</v>
      </c>
      <c r="J30" s="1" t="s">
        <v>139</v>
      </c>
      <c r="K30" s="1" t="s">
        <v>432</v>
      </c>
      <c r="L30" s="1" t="s">
        <v>52</v>
      </c>
      <c r="M30" s="1" t="s">
        <v>25</v>
      </c>
      <c r="N30" s="1" t="s">
        <v>444</v>
      </c>
      <c r="O30" s="9">
        <v>100</v>
      </c>
      <c r="P30" s="9">
        <v>1</v>
      </c>
      <c r="Q30" s="9">
        <v>1</v>
      </c>
      <c r="R30" s="4">
        <v>1</v>
      </c>
      <c r="S30" s="19">
        <v>1</v>
      </c>
      <c r="T30" t="s">
        <v>921</v>
      </c>
    </row>
    <row r="31" spans="1:20" ht="15.75" thickBot="1" x14ac:dyDescent="0.3">
      <c r="A31" s="18" t="s">
        <v>155</v>
      </c>
      <c r="B31" s="1" t="s">
        <v>14</v>
      </c>
      <c r="C31" s="1" t="s">
        <v>94</v>
      </c>
      <c r="D31" s="1" t="s">
        <v>95</v>
      </c>
      <c r="E31" s="1" t="s">
        <v>79</v>
      </c>
      <c r="F31" s="1" t="s">
        <v>447</v>
      </c>
      <c r="G31" s="1" t="s">
        <v>100</v>
      </c>
      <c r="H31" s="1" t="s">
        <v>99</v>
      </c>
      <c r="I31" s="1" t="s">
        <v>440</v>
      </c>
      <c r="J31" s="1" t="s">
        <v>97</v>
      </c>
      <c r="K31" s="1" t="s">
        <v>112</v>
      </c>
      <c r="L31" s="1" t="s">
        <v>52</v>
      </c>
      <c r="M31" s="1" t="s">
        <v>83</v>
      </c>
      <c r="N31" s="1" t="s">
        <v>919</v>
      </c>
      <c r="O31" s="10">
        <v>0</v>
      </c>
      <c r="P31" s="10">
        <v>0</v>
      </c>
      <c r="Q31" s="10">
        <v>1</v>
      </c>
      <c r="R31" s="5">
        <v>0</v>
      </c>
      <c r="S31" s="20">
        <v>9</v>
      </c>
      <c r="T31" t="s">
        <v>922</v>
      </c>
    </row>
    <row r="32" spans="1:20" ht="15.75" thickBot="1" x14ac:dyDescent="0.3">
      <c r="A32" s="18" t="s">
        <v>155</v>
      </c>
      <c r="B32" s="1" t="s">
        <v>14</v>
      </c>
      <c r="C32" s="1" t="s">
        <v>94</v>
      </c>
      <c r="D32" s="1" t="s">
        <v>95</v>
      </c>
      <c r="E32" s="1" t="s">
        <v>79</v>
      </c>
      <c r="F32" s="1" t="s">
        <v>447</v>
      </c>
      <c r="G32" s="1" t="s">
        <v>100</v>
      </c>
      <c r="H32" s="1" t="s">
        <v>99</v>
      </c>
      <c r="I32" s="1" t="s">
        <v>439</v>
      </c>
      <c r="J32" s="1" t="s">
        <v>97</v>
      </c>
      <c r="K32" s="1" t="s">
        <v>112</v>
      </c>
      <c r="L32" s="1" t="s">
        <v>52</v>
      </c>
      <c r="M32" s="1" t="s">
        <v>83</v>
      </c>
      <c r="N32" s="1" t="s">
        <v>919</v>
      </c>
      <c r="O32" s="9">
        <v>0</v>
      </c>
      <c r="P32" s="9">
        <v>0</v>
      </c>
      <c r="Q32" s="9">
        <v>1</v>
      </c>
      <c r="R32" s="4">
        <v>0</v>
      </c>
      <c r="S32" s="19">
        <v>9</v>
      </c>
      <c r="T32" t="s">
        <v>922</v>
      </c>
    </row>
    <row r="33" spans="1:20" ht="15.75" thickBot="1" x14ac:dyDescent="0.3">
      <c r="A33" s="18" t="s">
        <v>155</v>
      </c>
      <c r="B33" s="1" t="s">
        <v>14</v>
      </c>
      <c r="C33" s="1" t="s">
        <v>94</v>
      </c>
      <c r="D33" s="1" t="s">
        <v>95</v>
      </c>
      <c r="E33" s="1" t="s">
        <v>79</v>
      </c>
      <c r="F33" s="1" t="s">
        <v>447</v>
      </c>
      <c r="G33" s="1" t="s">
        <v>100</v>
      </c>
      <c r="H33" s="1" t="s">
        <v>99</v>
      </c>
      <c r="I33" s="1" t="s">
        <v>438</v>
      </c>
      <c r="J33" s="1" t="s">
        <v>97</v>
      </c>
      <c r="K33" s="1" t="s">
        <v>112</v>
      </c>
      <c r="L33" s="1" t="s">
        <v>52</v>
      </c>
      <c r="M33" s="1" t="s">
        <v>83</v>
      </c>
      <c r="N33" s="1" t="s">
        <v>919</v>
      </c>
      <c r="O33" s="10">
        <v>0</v>
      </c>
      <c r="P33" s="10">
        <v>0</v>
      </c>
      <c r="Q33" s="10">
        <v>1</v>
      </c>
      <c r="R33" s="5">
        <v>0</v>
      </c>
      <c r="S33" s="20">
        <v>9</v>
      </c>
      <c r="T33" t="s">
        <v>922</v>
      </c>
    </row>
    <row r="34" spans="1:20" ht="15.75" thickBot="1" x14ac:dyDescent="0.3">
      <c r="A34" s="18" t="s">
        <v>155</v>
      </c>
      <c r="B34" s="1" t="s">
        <v>14</v>
      </c>
      <c r="C34" s="1" t="s">
        <v>15</v>
      </c>
      <c r="D34" s="1" t="s">
        <v>35</v>
      </c>
      <c r="E34" s="1" t="s">
        <v>22</v>
      </c>
      <c r="F34" s="1" t="s">
        <v>443</v>
      </c>
      <c r="G34" s="1" t="s">
        <v>124</v>
      </c>
      <c r="H34" s="1" t="s">
        <v>123</v>
      </c>
      <c r="I34" s="1" t="s">
        <v>433</v>
      </c>
      <c r="J34" s="1" t="s">
        <v>434</v>
      </c>
      <c r="K34" s="1" t="s">
        <v>432</v>
      </c>
      <c r="L34" s="1" t="s">
        <v>52</v>
      </c>
      <c r="M34" s="1" t="s">
        <v>25</v>
      </c>
      <c r="N34" s="1" t="s">
        <v>444</v>
      </c>
      <c r="O34" s="9">
        <v>100</v>
      </c>
      <c r="P34" s="9">
        <v>1</v>
      </c>
      <c r="Q34" s="9">
        <v>1</v>
      </c>
      <c r="R34" s="4">
        <v>1</v>
      </c>
      <c r="S34" s="19">
        <v>1</v>
      </c>
      <c r="T34" t="s">
        <v>921</v>
      </c>
    </row>
    <row r="35" spans="1:20" ht="15.75" thickBot="1" x14ac:dyDescent="0.3">
      <c r="A35" s="18" t="s">
        <v>155</v>
      </c>
      <c r="B35" s="1" t="s">
        <v>14</v>
      </c>
      <c r="C35" s="1" t="s">
        <v>47</v>
      </c>
      <c r="D35" s="1" t="s">
        <v>48</v>
      </c>
      <c r="E35" s="1" t="s">
        <v>46</v>
      </c>
      <c r="F35" s="1" t="s">
        <v>445</v>
      </c>
      <c r="G35" s="1" t="s">
        <v>100</v>
      </c>
      <c r="H35" s="1" t="s">
        <v>99</v>
      </c>
      <c r="I35" s="1" t="s">
        <v>247</v>
      </c>
      <c r="J35" s="1" t="s">
        <v>248</v>
      </c>
      <c r="K35" s="1" t="s">
        <v>437</v>
      </c>
      <c r="L35" s="1" t="s">
        <v>52</v>
      </c>
      <c r="M35" s="1" t="s">
        <v>56</v>
      </c>
      <c r="N35" s="1" t="s">
        <v>450</v>
      </c>
      <c r="O35" s="10">
        <v>68.421052631578945</v>
      </c>
      <c r="P35" s="10">
        <v>0.68421052631578949</v>
      </c>
      <c r="Q35" s="10">
        <v>1</v>
      </c>
      <c r="R35" s="5">
        <v>13</v>
      </c>
      <c r="S35" s="20">
        <v>19</v>
      </c>
      <c r="T35" t="s">
        <v>922</v>
      </c>
    </row>
    <row r="36" spans="1:20" ht="15.75" thickBot="1" x14ac:dyDescent="0.3">
      <c r="A36" s="18" t="s">
        <v>155</v>
      </c>
      <c r="B36" s="1" t="s">
        <v>14</v>
      </c>
      <c r="C36" s="1" t="s">
        <v>47</v>
      </c>
      <c r="D36" s="1" t="s">
        <v>48</v>
      </c>
      <c r="E36" s="1" t="s">
        <v>46</v>
      </c>
      <c r="F36" s="1" t="s">
        <v>445</v>
      </c>
      <c r="G36" s="1" t="s">
        <v>100</v>
      </c>
      <c r="H36" s="1" t="s">
        <v>99</v>
      </c>
      <c r="I36" s="1" t="s">
        <v>251</v>
      </c>
      <c r="J36" s="1" t="s">
        <v>252</v>
      </c>
      <c r="K36" s="1" t="s">
        <v>432</v>
      </c>
      <c r="L36" s="1" t="s">
        <v>52</v>
      </c>
      <c r="M36" s="1" t="s">
        <v>56</v>
      </c>
      <c r="N36" s="1" t="s">
        <v>450</v>
      </c>
      <c r="O36" s="9">
        <v>100</v>
      </c>
      <c r="P36" s="9">
        <v>1</v>
      </c>
      <c r="Q36" s="9">
        <v>1</v>
      </c>
      <c r="R36" s="4">
        <v>7</v>
      </c>
      <c r="S36" s="19">
        <v>7</v>
      </c>
      <c r="T36" t="s">
        <v>921</v>
      </c>
    </row>
    <row r="37" spans="1:20" ht="15.75" thickBot="1" x14ac:dyDescent="0.3">
      <c r="A37" s="18" t="s">
        <v>155</v>
      </c>
      <c r="B37" s="1" t="s">
        <v>14</v>
      </c>
      <c r="C37" s="1" t="s">
        <v>47</v>
      </c>
      <c r="D37" s="1" t="s">
        <v>48</v>
      </c>
      <c r="E37" s="1" t="s">
        <v>46</v>
      </c>
      <c r="F37" s="1" t="s">
        <v>445</v>
      </c>
      <c r="G37" s="1" t="s">
        <v>100</v>
      </c>
      <c r="H37" s="1" t="s">
        <v>99</v>
      </c>
      <c r="I37" s="1" t="s">
        <v>254</v>
      </c>
      <c r="J37" s="1" t="s">
        <v>255</v>
      </c>
      <c r="K37" s="1" t="s">
        <v>432</v>
      </c>
      <c r="L37" s="1" t="s">
        <v>52</v>
      </c>
      <c r="M37" s="1" t="s">
        <v>56</v>
      </c>
      <c r="N37" s="1" t="s">
        <v>450</v>
      </c>
      <c r="O37" s="10">
        <v>100</v>
      </c>
      <c r="P37" s="10">
        <v>1</v>
      </c>
      <c r="Q37" s="10">
        <v>1</v>
      </c>
      <c r="R37" s="5">
        <v>7</v>
      </c>
      <c r="S37" s="20">
        <v>7</v>
      </c>
      <c r="T37" t="s">
        <v>921</v>
      </c>
    </row>
    <row r="38" spans="1:20" ht="15.75" thickBot="1" x14ac:dyDescent="0.3">
      <c r="A38" s="18" t="s">
        <v>155</v>
      </c>
      <c r="B38" s="1" t="s">
        <v>14</v>
      </c>
      <c r="C38" s="1" t="s">
        <v>47</v>
      </c>
      <c r="D38" s="1" t="s">
        <v>48</v>
      </c>
      <c r="E38" s="1" t="s">
        <v>46</v>
      </c>
      <c r="F38" s="1" t="s">
        <v>445</v>
      </c>
      <c r="G38" s="1" t="s">
        <v>100</v>
      </c>
      <c r="H38" s="1" t="s">
        <v>99</v>
      </c>
      <c r="I38" s="1" t="s">
        <v>256</v>
      </c>
      <c r="J38" s="1" t="s">
        <v>257</v>
      </c>
      <c r="K38" s="1" t="s">
        <v>432</v>
      </c>
      <c r="L38" s="1" t="s">
        <v>52</v>
      </c>
      <c r="M38" s="1" t="s">
        <v>56</v>
      </c>
      <c r="N38" s="1" t="s">
        <v>450</v>
      </c>
      <c r="O38" s="9">
        <v>100</v>
      </c>
      <c r="P38" s="9">
        <v>1</v>
      </c>
      <c r="Q38" s="9">
        <v>1</v>
      </c>
      <c r="R38" s="4">
        <v>4</v>
      </c>
      <c r="S38" s="19">
        <v>4</v>
      </c>
      <c r="T38" t="s">
        <v>921</v>
      </c>
    </row>
    <row r="39" spans="1:20" ht="15.75" thickBot="1" x14ac:dyDescent="0.3">
      <c r="A39" s="18" t="s">
        <v>155</v>
      </c>
      <c r="B39" s="1" t="s">
        <v>14</v>
      </c>
      <c r="C39" s="1" t="s">
        <v>15</v>
      </c>
      <c r="D39" s="1" t="s">
        <v>16</v>
      </c>
      <c r="E39" s="1" t="s">
        <v>22</v>
      </c>
      <c r="F39" s="1" t="s">
        <v>443</v>
      </c>
      <c r="G39" s="1" t="s">
        <v>124</v>
      </c>
      <c r="H39" s="1" t="s">
        <v>123</v>
      </c>
      <c r="I39" s="1" t="s">
        <v>172</v>
      </c>
      <c r="J39" s="1" t="s">
        <v>173</v>
      </c>
      <c r="K39" s="1" t="s">
        <v>432</v>
      </c>
      <c r="L39" s="1" t="s">
        <v>52</v>
      </c>
      <c r="M39" s="1" t="s">
        <v>25</v>
      </c>
      <c r="N39" s="1" t="s">
        <v>444</v>
      </c>
      <c r="O39" s="10">
        <v>100</v>
      </c>
      <c r="P39" s="10">
        <v>1</v>
      </c>
      <c r="Q39" s="10">
        <v>1</v>
      </c>
      <c r="R39" s="5">
        <v>1</v>
      </c>
      <c r="S39" s="20">
        <v>1</v>
      </c>
      <c r="T39" t="s">
        <v>921</v>
      </c>
    </row>
    <row r="40" spans="1:20" ht="15.75" thickBot="1" x14ac:dyDescent="0.3">
      <c r="A40" s="18" t="s">
        <v>155</v>
      </c>
      <c r="B40" s="1" t="s">
        <v>14</v>
      </c>
      <c r="C40" s="1" t="s">
        <v>47</v>
      </c>
      <c r="D40" s="1" t="s">
        <v>48</v>
      </c>
      <c r="E40" s="1" t="s">
        <v>46</v>
      </c>
      <c r="F40" s="1" t="s">
        <v>445</v>
      </c>
      <c r="G40" s="1" t="s">
        <v>100</v>
      </c>
      <c r="H40" s="1" t="s">
        <v>99</v>
      </c>
      <c r="I40" s="1" t="s">
        <v>259</v>
      </c>
      <c r="J40" s="1" t="s">
        <v>260</v>
      </c>
      <c r="K40" s="1" t="s">
        <v>432</v>
      </c>
      <c r="L40" s="1" t="s">
        <v>52</v>
      </c>
      <c r="M40" s="1" t="s">
        <v>56</v>
      </c>
      <c r="N40" s="1" t="s">
        <v>450</v>
      </c>
      <c r="O40" s="10">
        <v>100</v>
      </c>
      <c r="P40" s="10">
        <v>1</v>
      </c>
      <c r="Q40" s="10">
        <v>1</v>
      </c>
      <c r="R40" s="5">
        <v>25</v>
      </c>
      <c r="S40" s="20">
        <v>25</v>
      </c>
      <c r="T40" t="s">
        <v>921</v>
      </c>
    </row>
    <row r="41" spans="1:20" ht="15.75" thickBot="1" x14ac:dyDescent="0.3">
      <c r="A41" s="18" t="s">
        <v>155</v>
      </c>
      <c r="B41" s="1" t="s">
        <v>14</v>
      </c>
      <c r="C41" s="1" t="s">
        <v>47</v>
      </c>
      <c r="D41" s="1" t="s">
        <v>48</v>
      </c>
      <c r="E41" s="1" t="s">
        <v>46</v>
      </c>
      <c r="F41" s="1" t="s">
        <v>445</v>
      </c>
      <c r="G41" s="1" t="s">
        <v>100</v>
      </c>
      <c r="H41" s="1" t="s">
        <v>99</v>
      </c>
      <c r="I41" s="1" t="s">
        <v>262</v>
      </c>
      <c r="J41" s="1" t="s">
        <v>263</v>
      </c>
      <c r="K41" s="1" t="s">
        <v>432</v>
      </c>
      <c r="L41" s="1" t="s">
        <v>52</v>
      </c>
      <c r="M41" s="1" t="s">
        <v>56</v>
      </c>
      <c r="N41" s="1" t="s">
        <v>450</v>
      </c>
      <c r="O41" s="9">
        <v>100</v>
      </c>
      <c r="P41" s="9">
        <v>1</v>
      </c>
      <c r="Q41" s="9">
        <v>1</v>
      </c>
      <c r="R41" s="4">
        <v>4</v>
      </c>
      <c r="S41" s="19">
        <v>4</v>
      </c>
      <c r="T41" t="s">
        <v>921</v>
      </c>
    </row>
    <row r="42" spans="1:20" ht="15.75" thickBot="1" x14ac:dyDescent="0.3">
      <c r="A42" s="18" t="s">
        <v>155</v>
      </c>
      <c r="B42" s="1" t="s">
        <v>14</v>
      </c>
      <c r="C42" s="1" t="s">
        <v>15</v>
      </c>
      <c r="D42" s="1" t="s">
        <v>35</v>
      </c>
      <c r="E42" s="1" t="s">
        <v>22</v>
      </c>
      <c r="F42" s="1" t="s">
        <v>443</v>
      </c>
      <c r="G42" s="1" t="s">
        <v>124</v>
      </c>
      <c r="H42" s="1" t="s">
        <v>123</v>
      </c>
      <c r="I42" s="1" t="s">
        <v>202</v>
      </c>
      <c r="J42" s="1" t="s">
        <v>203</v>
      </c>
      <c r="K42" s="1" t="s">
        <v>432</v>
      </c>
      <c r="L42" s="1" t="s">
        <v>52</v>
      </c>
      <c r="M42" s="1" t="s">
        <v>25</v>
      </c>
      <c r="N42" s="1" t="s">
        <v>444</v>
      </c>
      <c r="O42" s="10">
        <v>100</v>
      </c>
      <c r="P42" s="10">
        <v>1</v>
      </c>
      <c r="Q42" s="10">
        <v>1</v>
      </c>
      <c r="R42" s="5">
        <v>4</v>
      </c>
      <c r="S42" s="20">
        <v>4</v>
      </c>
      <c r="T42" t="s">
        <v>921</v>
      </c>
    </row>
    <row r="43" spans="1:20" ht="15.75" thickBot="1" x14ac:dyDescent="0.3">
      <c r="A43" s="18" t="s">
        <v>155</v>
      </c>
      <c r="B43" s="1" t="s">
        <v>14</v>
      </c>
      <c r="C43" s="1" t="s">
        <v>94</v>
      </c>
      <c r="D43" s="1" t="s">
        <v>131</v>
      </c>
      <c r="E43" s="1" t="s">
        <v>22</v>
      </c>
      <c r="F43" s="1" t="s">
        <v>443</v>
      </c>
      <c r="G43" s="1" t="s">
        <v>124</v>
      </c>
      <c r="H43" s="1" t="s">
        <v>123</v>
      </c>
      <c r="I43" s="1" t="s">
        <v>364</v>
      </c>
      <c r="J43" s="1" t="s">
        <v>365</v>
      </c>
      <c r="K43" s="1" t="s">
        <v>432</v>
      </c>
      <c r="L43" s="1" t="s">
        <v>52</v>
      </c>
      <c r="M43" s="1" t="s">
        <v>25</v>
      </c>
      <c r="N43" s="1" t="s">
        <v>444</v>
      </c>
      <c r="O43" s="10">
        <v>100</v>
      </c>
      <c r="P43" s="10">
        <v>1</v>
      </c>
      <c r="Q43" s="10">
        <v>1</v>
      </c>
      <c r="R43" s="5">
        <v>1</v>
      </c>
      <c r="S43" s="20">
        <v>1</v>
      </c>
      <c r="T43" t="s">
        <v>921</v>
      </c>
    </row>
    <row r="44" spans="1:20" ht="15.75" thickBot="1" x14ac:dyDescent="0.3">
      <c r="A44" s="18" t="s">
        <v>155</v>
      </c>
      <c r="B44" s="1" t="s">
        <v>14</v>
      </c>
      <c r="C44" s="1" t="s">
        <v>94</v>
      </c>
      <c r="D44" s="1" t="s">
        <v>131</v>
      </c>
      <c r="E44" s="1" t="s">
        <v>22</v>
      </c>
      <c r="F44" s="1" t="s">
        <v>443</v>
      </c>
      <c r="G44" s="1" t="s">
        <v>124</v>
      </c>
      <c r="H44" s="1" t="s">
        <v>123</v>
      </c>
      <c r="I44" s="1" t="s">
        <v>366</v>
      </c>
      <c r="J44" s="1" t="s">
        <v>367</v>
      </c>
      <c r="K44" s="1" t="s">
        <v>432</v>
      </c>
      <c r="L44" s="1" t="s">
        <v>52</v>
      </c>
      <c r="M44" s="1" t="s">
        <v>25</v>
      </c>
      <c r="N44" s="1" t="s">
        <v>444</v>
      </c>
      <c r="O44" s="9">
        <v>100</v>
      </c>
      <c r="P44" s="9">
        <v>1</v>
      </c>
      <c r="Q44" s="9">
        <v>1</v>
      </c>
      <c r="R44" s="4">
        <v>1</v>
      </c>
      <c r="S44" s="19">
        <v>1</v>
      </c>
      <c r="T44" t="s">
        <v>921</v>
      </c>
    </row>
    <row r="45" spans="1:20" ht="15.75" thickBot="1" x14ac:dyDescent="0.3">
      <c r="A45" s="18" t="s">
        <v>155</v>
      </c>
      <c r="B45" s="1" t="s">
        <v>14</v>
      </c>
      <c r="C45" s="1" t="s">
        <v>94</v>
      </c>
      <c r="D45" s="1" t="s">
        <v>131</v>
      </c>
      <c r="E45" s="1" t="s">
        <v>22</v>
      </c>
      <c r="F45" s="1" t="s">
        <v>443</v>
      </c>
      <c r="G45" s="1" t="s">
        <v>124</v>
      </c>
      <c r="H45" s="1" t="s">
        <v>123</v>
      </c>
      <c r="I45" s="1" t="s">
        <v>368</v>
      </c>
      <c r="J45" s="1" t="s">
        <v>369</v>
      </c>
      <c r="K45" s="1" t="s">
        <v>441</v>
      </c>
      <c r="L45" s="1" t="s">
        <v>52</v>
      </c>
      <c r="M45" s="1" t="s">
        <v>25</v>
      </c>
      <c r="N45" s="1" t="s">
        <v>444</v>
      </c>
      <c r="O45" s="10">
        <v>100</v>
      </c>
      <c r="P45" s="10">
        <v>1</v>
      </c>
      <c r="Q45" s="10">
        <v>1</v>
      </c>
      <c r="R45" s="5">
        <v>1</v>
      </c>
      <c r="S45" s="20">
        <v>1</v>
      </c>
      <c r="T45" t="s">
        <v>921</v>
      </c>
    </row>
    <row r="46" spans="1:20" ht="15.75" thickBot="1" x14ac:dyDescent="0.3">
      <c r="A46" s="18" t="s">
        <v>155</v>
      </c>
      <c r="B46" s="1" t="s">
        <v>14</v>
      </c>
      <c r="C46" s="1" t="s">
        <v>94</v>
      </c>
      <c r="D46" s="1" t="s">
        <v>131</v>
      </c>
      <c r="E46" s="1" t="s">
        <v>22</v>
      </c>
      <c r="F46" s="1" t="s">
        <v>443</v>
      </c>
      <c r="G46" s="1" t="s">
        <v>100</v>
      </c>
      <c r="H46" s="1" t="s">
        <v>99</v>
      </c>
      <c r="I46" s="1" t="s">
        <v>355</v>
      </c>
      <c r="J46" s="1" t="s">
        <v>356</v>
      </c>
      <c r="K46" s="1" t="s">
        <v>432</v>
      </c>
      <c r="L46" s="1" t="s">
        <v>52</v>
      </c>
      <c r="M46" s="1" t="s">
        <v>25</v>
      </c>
      <c r="N46" s="1" t="s">
        <v>444</v>
      </c>
      <c r="O46" s="10">
        <v>100</v>
      </c>
      <c r="P46" s="10">
        <v>1</v>
      </c>
      <c r="Q46" s="10">
        <v>1</v>
      </c>
      <c r="R46" s="5">
        <v>1</v>
      </c>
      <c r="S46" s="20">
        <v>1</v>
      </c>
      <c r="T46" t="s">
        <v>921</v>
      </c>
    </row>
    <row r="47" spans="1:20" ht="15.75" thickBot="1" x14ac:dyDescent="0.3">
      <c r="A47" s="18" t="s">
        <v>155</v>
      </c>
      <c r="B47" s="1" t="s">
        <v>14</v>
      </c>
      <c r="C47" s="1" t="s">
        <v>94</v>
      </c>
      <c r="D47" s="1" t="s">
        <v>131</v>
      </c>
      <c r="E47" s="1" t="s">
        <v>22</v>
      </c>
      <c r="F47" s="1" t="s">
        <v>443</v>
      </c>
      <c r="G47" s="1" t="s">
        <v>124</v>
      </c>
      <c r="H47" s="1" t="s">
        <v>123</v>
      </c>
      <c r="I47" s="1" t="s">
        <v>370</v>
      </c>
      <c r="J47" s="1" t="s">
        <v>371</v>
      </c>
      <c r="K47" s="1" t="s">
        <v>432</v>
      </c>
      <c r="L47" s="1" t="s">
        <v>52</v>
      </c>
      <c r="M47" s="1" t="s">
        <v>25</v>
      </c>
      <c r="N47" s="1" t="s">
        <v>444</v>
      </c>
      <c r="O47" s="9">
        <v>100</v>
      </c>
      <c r="P47" s="9">
        <v>1</v>
      </c>
      <c r="Q47" s="9">
        <v>1</v>
      </c>
      <c r="R47" s="4">
        <v>1</v>
      </c>
      <c r="S47" s="19">
        <v>1</v>
      </c>
      <c r="T47" t="s">
        <v>921</v>
      </c>
    </row>
    <row r="48" spans="1:20" ht="15.75" thickBot="1" x14ac:dyDescent="0.3">
      <c r="A48" s="18" t="s">
        <v>155</v>
      </c>
      <c r="B48" s="1" t="s">
        <v>14</v>
      </c>
      <c r="C48" s="1" t="s">
        <v>94</v>
      </c>
      <c r="D48" s="1" t="s">
        <v>131</v>
      </c>
      <c r="E48" s="1" t="s">
        <v>22</v>
      </c>
      <c r="F48" s="1" t="s">
        <v>443</v>
      </c>
      <c r="G48" s="1" t="s">
        <v>100</v>
      </c>
      <c r="H48" s="1" t="s">
        <v>99</v>
      </c>
      <c r="I48" s="1" t="s">
        <v>358</v>
      </c>
      <c r="J48" s="1" t="s">
        <v>359</v>
      </c>
      <c r="K48" s="1" t="s">
        <v>432</v>
      </c>
      <c r="L48" s="1" t="s">
        <v>52</v>
      </c>
      <c r="M48" s="1" t="s">
        <v>25</v>
      </c>
      <c r="N48" s="1" t="s">
        <v>444</v>
      </c>
      <c r="O48" s="9">
        <v>100</v>
      </c>
      <c r="P48" s="9">
        <v>1</v>
      </c>
      <c r="Q48" s="9">
        <v>1</v>
      </c>
      <c r="R48" s="4">
        <v>1</v>
      </c>
      <c r="S48" s="19">
        <v>1</v>
      </c>
      <c r="T48" t="s">
        <v>921</v>
      </c>
    </row>
    <row r="49" spans="1:20" ht="15.75" thickBot="1" x14ac:dyDescent="0.3">
      <c r="A49" s="18" t="s">
        <v>155</v>
      </c>
      <c r="B49" s="1" t="s">
        <v>14</v>
      </c>
      <c r="C49" s="1" t="s">
        <v>94</v>
      </c>
      <c r="D49" s="1" t="s">
        <v>131</v>
      </c>
      <c r="E49" s="1" t="s">
        <v>22</v>
      </c>
      <c r="F49" s="1" t="s">
        <v>443</v>
      </c>
      <c r="G49" s="1" t="s">
        <v>124</v>
      </c>
      <c r="H49" s="1" t="s">
        <v>123</v>
      </c>
      <c r="I49" s="1" t="s">
        <v>372</v>
      </c>
      <c r="J49" s="1" t="s">
        <v>373</v>
      </c>
      <c r="K49" s="1" t="s">
        <v>432</v>
      </c>
      <c r="L49" s="1" t="s">
        <v>52</v>
      </c>
      <c r="M49" s="1" t="s">
        <v>25</v>
      </c>
      <c r="N49" s="1" t="s">
        <v>444</v>
      </c>
      <c r="O49" s="10">
        <v>100</v>
      </c>
      <c r="P49" s="10">
        <v>1</v>
      </c>
      <c r="Q49" s="10">
        <v>1</v>
      </c>
      <c r="R49" s="5">
        <v>1</v>
      </c>
      <c r="S49" s="20">
        <v>1</v>
      </c>
      <c r="T49" t="s">
        <v>921</v>
      </c>
    </row>
    <row r="50" spans="1:20" ht="15.75" thickBot="1" x14ac:dyDescent="0.3">
      <c r="A50" s="18" t="s">
        <v>155</v>
      </c>
      <c r="B50" s="1" t="s">
        <v>14</v>
      </c>
      <c r="C50" s="1" t="s">
        <v>94</v>
      </c>
      <c r="D50" s="1" t="s">
        <v>131</v>
      </c>
      <c r="E50" s="1" t="s">
        <v>22</v>
      </c>
      <c r="F50" s="1" t="s">
        <v>443</v>
      </c>
      <c r="G50" s="1" t="s">
        <v>124</v>
      </c>
      <c r="H50" s="1" t="s">
        <v>123</v>
      </c>
      <c r="I50" s="1" t="s">
        <v>374</v>
      </c>
      <c r="J50" s="1" t="s">
        <v>375</v>
      </c>
      <c r="K50" s="1" t="s">
        <v>432</v>
      </c>
      <c r="L50" s="1" t="s">
        <v>52</v>
      </c>
      <c r="M50" s="1" t="s">
        <v>25</v>
      </c>
      <c r="N50" s="1" t="s">
        <v>444</v>
      </c>
      <c r="O50" s="9">
        <v>100</v>
      </c>
      <c r="P50" s="9">
        <v>1</v>
      </c>
      <c r="Q50" s="9">
        <v>1</v>
      </c>
      <c r="R50" s="4">
        <v>1</v>
      </c>
      <c r="S50" s="19">
        <v>1</v>
      </c>
      <c r="T50" t="s">
        <v>921</v>
      </c>
    </row>
    <row r="51" spans="1:20" ht="15.75" thickBot="1" x14ac:dyDescent="0.3">
      <c r="A51" s="18" t="s">
        <v>155</v>
      </c>
      <c r="B51" s="1" t="s">
        <v>14</v>
      </c>
      <c r="C51" s="1" t="s">
        <v>47</v>
      </c>
      <c r="D51" s="1" t="s">
        <v>48</v>
      </c>
      <c r="E51" s="1" t="s">
        <v>46</v>
      </c>
      <c r="F51" s="1" t="s">
        <v>445</v>
      </c>
      <c r="G51" s="1" t="s">
        <v>100</v>
      </c>
      <c r="H51" s="1" t="s">
        <v>99</v>
      </c>
      <c r="I51" s="1" t="s">
        <v>265</v>
      </c>
      <c r="J51" s="1" t="s">
        <v>266</v>
      </c>
      <c r="K51" s="1" t="s">
        <v>437</v>
      </c>
      <c r="L51" s="1" t="s">
        <v>52</v>
      </c>
      <c r="M51" s="1" t="s">
        <v>56</v>
      </c>
      <c r="N51" s="1" t="s">
        <v>450</v>
      </c>
      <c r="O51" s="10">
        <v>74.074074074074076</v>
      </c>
      <c r="P51" s="10">
        <v>0.7407407407407407</v>
      </c>
      <c r="Q51" s="10">
        <v>1</v>
      </c>
      <c r="R51" s="5">
        <v>20</v>
      </c>
      <c r="S51" s="20">
        <v>27</v>
      </c>
      <c r="T51" t="s">
        <v>922</v>
      </c>
    </row>
    <row r="52" spans="1:20" x14ac:dyDescent="0.25">
      <c r="A52" s="25" t="s">
        <v>41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6"/>
      <c r="O52" s="31">
        <v>78.33935018050542</v>
      </c>
      <c r="P52" s="31">
        <v>0.78339350180505418</v>
      </c>
      <c r="Q52" s="31">
        <v>1</v>
      </c>
      <c r="R52" s="32">
        <v>217</v>
      </c>
      <c r="S52" s="27">
        <v>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Tabla</vt:lpstr>
      <vt:lpstr>Avisos Pendientes</vt:lpstr>
      <vt:lpstr>Órdenes Pendientes</vt:lpstr>
      <vt:lpstr>% Trabajo Planificado</vt:lpstr>
      <vt:lpstr>Programa Semanal</vt:lpstr>
      <vt:lpstr>Plan 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Contreras</dc:creator>
  <cp:lastModifiedBy>José Contreras</cp:lastModifiedBy>
  <dcterms:created xsi:type="dcterms:W3CDTF">2026-05-18T13:10:48Z</dcterms:created>
  <dcterms:modified xsi:type="dcterms:W3CDTF">2026-05-25T13:53:39Z</dcterms:modified>
</cp:coreProperties>
</file>