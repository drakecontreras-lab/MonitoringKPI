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onitoringspa-my.sharepoint.com/personal/jose_contreras_monitoring_cl/Documents/GSYS/Reportes/"/>
    </mc:Choice>
  </mc:AlternateContent>
  <xr:revisionPtr revIDLastSave="12" documentId="8_{C4347EF0-9088-42FB-91DB-00E0275F55EC}" xr6:coauthVersionLast="47" xr6:coauthVersionMax="47" xr10:uidLastSave="{E5B64254-CFB6-4C8F-8592-160D3F80B122}"/>
  <bookViews>
    <workbookView xWindow="-120" yWindow="-120" windowWidth="29040" windowHeight="15720" firstSheet="1" activeTab="1" xr2:uid="{6C984DA3-6003-4D64-94FE-6E7C276F8324}"/>
  </bookViews>
  <sheets>
    <sheet name="Data" sheetId="8" state="hidden" r:id="rId1"/>
    <sheet name="Tabla" sheetId="2" r:id="rId2"/>
    <sheet name="Avisos Pendientes" sheetId="3" r:id="rId3"/>
    <sheet name="Órdenes Pendientes" sheetId="4" r:id="rId4"/>
    <sheet name="% Trabajo Planificado" sheetId="5" r:id="rId5"/>
    <sheet name="Programa Semanal" sheetId="6" r:id="rId6"/>
    <sheet name="Plan Matriz" sheetId="7" r:id="rId7"/>
  </sheets>
  <calcPr calcId="191029"/>
  <pivotCaches>
    <pivotCache cacheId="121" r:id="rId8"/>
    <pivotCache cacheId="122" r:id="rId9"/>
    <pivotCache cacheId="123" r:id="rId10"/>
    <pivotCache cacheId="124" r:id="rId11"/>
    <pivotCache cacheId="125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9" i="2" l="1"/>
  <c r="G60" i="2"/>
  <c r="G61" i="2"/>
  <c r="G62" i="2"/>
  <c r="G63" i="2"/>
  <c r="G64" i="2"/>
  <c r="R78" i="6"/>
  <c r="G47" i="2"/>
  <c r="G48" i="2"/>
  <c r="G31" i="2"/>
  <c r="G32" i="2"/>
  <c r="G33" i="2"/>
  <c r="G34" i="2"/>
  <c r="G30" i="2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J98" i="5" a="1"/>
  <c r="J98" i="5" s="1"/>
  <c r="I2" i="5"/>
  <c r="J2" i="5" s="1" a="1"/>
  <c r="J2" i="5" s="1"/>
  <c r="I3" i="5"/>
  <c r="J3" i="5" s="1" a="1"/>
  <c r="J3" i="5" s="1"/>
  <c r="I4" i="5"/>
  <c r="J4" i="5" s="1" a="1"/>
  <c r="J4" i="5" s="1"/>
  <c r="I5" i="5"/>
  <c r="J5" i="5" s="1" a="1"/>
  <c r="J5" i="5" s="1"/>
  <c r="I6" i="5"/>
  <c r="J6" i="5" s="1" a="1"/>
  <c r="J6" i="5" s="1"/>
  <c r="I7" i="5"/>
  <c r="J7" i="5" s="1" a="1"/>
  <c r="J7" i="5" s="1"/>
  <c r="I8" i="5"/>
  <c r="J8" i="5" s="1" a="1"/>
  <c r="J8" i="5" s="1"/>
  <c r="I9" i="5"/>
  <c r="J9" i="5" s="1" a="1"/>
  <c r="J9" i="5" s="1"/>
  <c r="I10" i="5"/>
  <c r="J10" i="5" s="1" a="1"/>
  <c r="J10" i="5" s="1"/>
  <c r="I11" i="5"/>
  <c r="J11" i="5" s="1" a="1"/>
  <c r="J11" i="5" s="1"/>
  <c r="I12" i="5"/>
  <c r="J12" i="5" s="1" a="1"/>
  <c r="J12" i="5" s="1"/>
  <c r="I13" i="5"/>
  <c r="J13" i="5" s="1" a="1"/>
  <c r="J13" i="5" s="1"/>
  <c r="I14" i="5"/>
  <c r="J14" i="5" s="1" a="1"/>
  <c r="J14" i="5" s="1"/>
  <c r="I15" i="5"/>
  <c r="J15" i="5" s="1" a="1"/>
  <c r="J15" i="5" s="1"/>
  <c r="I16" i="5"/>
  <c r="J16" i="5" s="1" a="1"/>
  <c r="J16" i="5" s="1"/>
  <c r="I17" i="5"/>
  <c r="J17" i="5" s="1" a="1"/>
  <c r="J17" i="5" s="1"/>
  <c r="I18" i="5"/>
  <c r="J18" i="5" s="1" a="1"/>
  <c r="J18" i="5" s="1"/>
  <c r="I19" i="5"/>
  <c r="J19" i="5" s="1" a="1"/>
  <c r="J19" i="5" s="1"/>
  <c r="I20" i="5"/>
  <c r="J20" i="5" s="1" a="1"/>
  <c r="J20" i="5" s="1"/>
  <c r="I21" i="5"/>
  <c r="J21" i="5" s="1" a="1"/>
  <c r="J21" i="5" s="1"/>
  <c r="I22" i="5"/>
  <c r="J22" i="5" s="1" a="1"/>
  <c r="J22" i="5" s="1"/>
  <c r="I23" i="5"/>
  <c r="J23" i="5" s="1" a="1"/>
  <c r="J23" i="5" s="1"/>
  <c r="I24" i="5"/>
  <c r="J24" i="5" s="1" a="1"/>
  <c r="J24" i="5" s="1"/>
  <c r="I25" i="5"/>
  <c r="J25" i="5" s="1" a="1"/>
  <c r="J25" i="5" s="1"/>
  <c r="I26" i="5"/>
  <c r="J26" i="5" s="1" a="1"/>
  <c r="J26" i="5" s="1"/>
  <c r="I27" i="5"/>
  <c r="J27" i="5" s="1" a="1"/>
  <c r="J27" i="5" s="1"/>
  <c r="I28" i="5"/>
  <c r="J28" i="5" s="1" a="1"/>
  <c r="J28" i="5" s="1"/>
  <c r="I29" i="5"/>
  <c r="J29" i="5" s="1" a="1"/>
  <c r="J29" i="5" s="1"/>
  <c r="I30" i="5"/>
  <c r="J30" i="5" s="1" a="1"/>
  <c r="J30" i="5" s="1"/>
  <c r="I31" i="5"/>
  <c r="J31" i="5" s="1" a="1"/>
  <c r="J31" i="5" s="1"/>
  <c r="I32" i="5"/>
  <c r="J32" i="5" s="1" a="1"/>
  <c r="J32" i="5" s="1"/>
  <c r="I33" i="5"/>
  <c r="J33" i="5" s="1" a="1"/>
  <c r="J33" i="5" s="1"/>
  <c r="I34" i="5"/>
  <c r="J34" i="5" s="1" a="1"/>
  <c r="J34" i="5" s="1"/>
  <c r="I35" i="5"/>
  <c r="J35" i="5" s="1" a="1"/>
  <c r="J35" i="5" s="1"/>
  <c r="I36" i="5"/>
  <c r="J36" i="5" s="1" a="1"/>
  <c r="J36" i="5" s="1"/>
  <c r="I37" i="5"/>
  <c r="J37" i="5" s="1" a="1"/>
  <c r="J37" i="5" s="1"/>
  <c r="I38" i="5"/>
  <c r="J38" i="5" s="1" a="1"/>
  <c r="J38" i="5" s="1"/>
  <c r="I39" i="5"/>
  <c r="J39" i="5" s="1" a="1"/>
  <c r="J39" i="5" s="1"/>
  <c r="I40" i="5"/>
  <c r="J40" i="5" s="1" a="1"/>
  <c r="J40" i="5" s="1"/>
  <c r="I41" i="5"/>
  <c r="J41" i="5" s="1" a="1"/>
  <c r="J41" i="5" s="1"/>
  <c r="I42" i="5"/>
  <c r="J42" i="5" s="1" a="1"/>
  <c r="J42" i="5" s="1"/>
  <c r="I43" i="5"/>
  <c r="J43" i="5" s="1" a="1"/>
  <c r="J43" i="5" s="1"/>
  <c r="I44" i="5"/>
  <c r="J44" i="5" s="1" a="1"/>
  <c r="J44" i="5" s="1"/>
  <c r="I45" i="5"/>
  <c r="J45" i="5" s="1" a="1"/>
  <c r="J45" i="5" s="1"/>
  <c r="I46" i="5"/>
  <c r="J46" i="5" s="1" a="1"/>
  <c r="J46" i="5" s="1"/>
  <c r="I47" i="5"/>
  <c r="J47" i="5" s="1" a="1"/>
  <c r="J47" i="5" s="1"/>
  <c r="I48" i="5"/>
  <c r="J48" i="5" s="1" a="1"/>
  <c r="J48" i="5" s="1"/>
  <c r="I49" i="5"/>
  <c r="J49" i="5" s="1" a="1"/>
  <c r="J49" i="5" s="1"/>
  <c r="I50" i="5"/>
  <c r="J50" i="5" s="1" a="1"/>
  <c r="J50" i="5" s="1"/>
  <c r="I51" i="5"/>
  <c r="J51" i="5" s="1" a="1"/>
  <c r="J51" i="5" s="1"/>
  <c r="I52" i="5"/>
  <c r="J52" i="5" s="1" a="1"/>
  <c r="J52" i="5" s="1"/>
  <c r="I53" i="5"/>
  <c r="J53" i="5" s="1" a="1"/>
  <c r="J53" i="5" s="1"/>
  <c r="I54" i="5"/>
  <c r="J54" i="5" s="1" a="1"/>
  <c r="J54" i="5" s="1"/>
  <c r="I55" i="5"/>
  <c r="J55" i="5" s="1" a="1"/>
  <c r="J55" i="5" s="1"/>
  <c r="I56" i="5"/>
  <c r="J56" i="5" s="1" a="1"/>
  <c r="J56" i="5" s="1"/>
  <c r="I57" i="5"/>
  <c r="J57" i="5" s="1" a="1"/>
  <c r="J57" i="5" s="1"/>
  <c r="I58" i="5"/>
  <c r="J58" i="5" s="1" a="1"/>
  <c r="J58" i="5" s="1"/>
  <c r="I59" i="5"/>
  <c r="J59" i="5" s="1" a="1"/>
  <c r="J59" i="5" s="1"/>
  <c r="I60" i="5"/>
  <c r="J60" i="5" s="1" a="1"/>
  <c r="J60" i="5" s="1"/>
  <c r="I61" i="5"/>
  <c r="J61" i="5" s="1" a="1"/>
  <c r="J61" i="5" s="1"/>
  <c r="I62" i="5"/>
  <c r="J62" i="5" s="1" a="1"/>
  <c r="J62" i="5" s="1"/>
  <c r="I63" i="5"/>
  <c r="J63" i="5" s="1" a="1"/>
  <c r="J63" i="5" s="1"/>
  <c r="I64" i="5"/>
  <c r="J64" i="5" s="1" a="1"/>
  <c r="J64" i="5" s="1"/>
  <c r="I65" i="5"/>
  <c r="J65" i="5" s="1" a="1"/>
  <c r="J65" i="5" s="1"/>
  <c r="I66" i="5"/>
  <c r="J66" i="5" s="1" a="1"/>
  <c r="J66" i="5" s="1"/>
  <c r="I67" i="5"/>
  <c r="J67" i="5" s="1" a="1"/>
  <c r="J67" i="5" s="1"/>
  <c r="I68" i="5"/>
  <c r="J68" i="5" s="1" a="1"/>
  <c r="J68" i="5" s="1"/>
  <c r="I69" i="5"/>
  <c r="J69" i="5" s="1" a="1"/>
  <c r="J69" i="5" s="1"/>
  <c r="I70" i="5"/>
  <c r="J70" i="5" s="1" a="1"/>
  <c r="J70" i="5" s="1"/>
  <c r="I71" i="5"/>
  <c r="J71" i="5" s="1" a="1"/>
  <c r="J71" i="5" s="1"/>
  <c r="I72" i="5"/>
  <c r="J72" i="5" s="1" a="1"/>
  <c r="J72" i="5" s="1"/>
  <c r="I73" i="5"/>
  <c r="J73" i="5" s="1" a="1"/>
  <c r="J73" i="5" s="1"/>
  <c r="I74" i="5"/>
  <c r="J74" i="5" s="1" a="1"/>
  <c r="J74" i="5" s="1"/>
  <c r="I75" i="5"/>
  <c r="J75" i="5" s="1" a="1"/>
  <c r="J75" i="5" s="1"/>
  <c r="I76" i="5"/>
  <c r="J76" i="5" s="1" a="1"/>
  <c r="J76" i="5" s="1"/>
  <c r="I77" i="5"/>
  <c r="J77" i="5" s="1" a="1"/>
  <c r="J77" i="5" s="1"/>
  <c r="I78" i="5"/>
  <c r="J78" i="5" s="1" a="1"/>
  <c r="J78" i="5" s="1"/>
  <c r="I79" i="5"/>
  <c r="J79" i="5" s="1" a="1"/>
  <c r="J79" i="5" s="1"/>
  <c r="I80" i="5"/>
  <c r="J80" i="5" s="1" a="1"/>
  <c r="J80" i="5" s="1"/>
  <c r="I81" i="5"/>
  <c r="J81" i="5" s="1" a="1"/>
  <c r="J81" i="5" s="1"/>
  <c r="I82" i="5"/>
  <c r="J82" i="5" s="1" a="1"/>
  <c r="J82" i="5" s="1"/>
  <c r="I83" i="5"/>
  <c r="J83" i="5" s="1" a="1"/>
  <c r="J83" i="5" s="1"/>
  <c r="I84" i="5"/>
  <c r="J84" i="5" s="1" a="1"/>
  <c r="J84" i="5" s="1"/>
  <c r="I85" i="5"/>
  <c r="J85" i="5" s="1" a="1"/>
  <c r="J85" i="5" s="1"/>
  <c r="I86" i="5"/>
  <c r="J86" i="5" s="1" a="1"/>
  <c r="J86" i="5" s="1"/>
  <c r="I87" i="5"/>
  <c r="J87" i="5" s="1" a="1"/>
  <c r="J87" i="5" s="1"/>
  <c r="I88" i="5"/>
  <c r="J88" i="5" s="1" a="1"/>
  <c r="J88" i="5" s="1"/>
  <c r="I89" i="5"/>
  <c r="J89" i="5" s="1" a="1"/>
  <c r="J89" i="5" s="1"/>
  <c r="I90" i="5"/>
  <c r="J90" i="5" s="1" a="1"/>
  <c r="J90" i="5" s="1"/>
  <c r="I91" i="5"/>
  <c r="J91" i="5" s="1" a="1"/>
  <c r="J91" i="5" s="1"/>
  <c r="I92" i="5"/>
  <c r="J92" i="5" s="1" a="1"/>
  <c r="J92" i="5" s="1"/>
  <c r="I93" i="5"/>
  <c r="J93" i="5" s="1" a="1"/>
  <c r="J93" i="5" s="1"/>
  <c r="I94" i="5"/>
  <c r="J94" i="5" s="1" a="1"/>
  <c r="J94" i="5" s="1"/>
  <c r="I95" i="5"/>
  <c r="J95" i="5" s="1" a="1"/>
  <c r="J95" i="5" s="1"/>
  <c r="I96" i="5"/>
  <c r="J96" i="5" s="1" a="1"/>
  <c r="J96" i="5" s="1"/>
  <c r="I97" i="5"/>
  <c r="J97" i="5" s="1" a="1"/>
  <c r="J97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<sst xmlns="http://schemas.openxmlformats.org/spreadsheetml/2006/main" count="4962" uniqueCount="717">
  <si>
    <t>Año natural/Semana</t>
  </si>
  <si>
    <t>Fase</t>
  </si>
  <si>
    <t>Proceso</t>
  </si>
  <si>
    <t>SubProceso</t>
  </si>
  <si>
    <t>Aviso</t>
  </si>
  <si>
    <t>Clase de aviso</t>
  </si>
  <si>
    <t>Prioridad</t>
  </si>
  <si>
    <t>Status de Sistema</t>
  </si>
  <si>
    <t>Fecha Aviso PM</t>
  </si>
  <si>
    <t>Gr.planif.PM</t>
  </si>
  <si>
    <t>Orden mantenimiento</t>
  </si>
  <si>
    <t>Puesto de trabajo</t>
  </si>
  <si>
    <t>Número de avisos pendientes</t>
  </si>
  <si>
    <t>19.2026</t>
  </si>
  <si>
    <t>08 INFR SERVIC Y SUMIN DCH</t>
  </si>
  <si>
    <t>02 SUMINISTRO ELECTRICO DCH</t>
  </si>
  <si>
    <t>CHSS-SE</t>
  </si>
  <si>
    <t>30035659</t>
  </si>
  <si>
    <t>Revision de Baterias Grupo Gen Tchitack</t>
  </si>
  <si>
    <t>M1</t>
  </si>
  <si>
    <t>3</t>
  </si>
  <si>
    <t>DOCU MEAB</t>
  </si>
  <si>
    <t>Pl.Dist.Energ.Elec</t>
  </si>
  <si>
    <t>#</t>
  </si>
  <si>
    <t>Sin asignar</t>
  </si>
  <si>
    <t>MANT. INT SUMINISTRO ELECTRICO</t>
  </si>
  <si>
    <t>30035777</t>
  </si>
  <si>
    <t>Mtto G. Generador Tchitack</t>
  </si>
  <si>
    <t>30037668</t>
  </si>
  <si>
    <t>EJE. BAJO NIVEL CONSERVADOR CDBC ATR 2</t>
  </si>
  <si>
    <t>MANT &amp; PLANIF SUMINISTRO ELECTRICO</t>
  </si>
  <si>
    <t>Resultado total</t>
  </si>
  <si>
    <t>Sub-Proceso</t>
  </si>
  <si>
    <t>Clase de orden</t>
  </si>
  <si>
    <t>Clase actividad PM</t>
  </si>
  <si>
    <t>Número de OT Pendientes</t>
  </si>
  <si>
    <t>Pl.Termoelec.Chuq.</t>
  </si>
  <si>
    <t>03 PLANTAS DE SUMINISTROS DCH</t>
  </si>
  <si>
    <t>CHSS-SU</t>
  </si>
  <si>
    <t>109423166</t>
  </si>
  <si>
    <t>Alimentación cal desde silo 3/correa 129</t>
  </si>
  <si>
    <t>LIB. IMOP MACO MOVM PREC TRAT</t>
  </si>
  <si>
    <t>PL</t>
  </si>
  <si>
    <t>Correctivo Planificado</t>
  </si>
  <si>
    <t>025</t>
  </si>
  <si>
    <t>18.2026</t>
  </si>
  <si>
    <t>MANT &amp; PLANIF CENTRAL TERMICA SULFUROS</t>
  </si>
  <si>
    <t>109501785</t>
  </si>
  <si>
    <t>CAMBIO BBA 1B - FILTRACION SELLOS</t>
  </si>
  <si>
    <t>LIB. NOTP DOCU IMOP MACO PREC PROG TRAT</t>
  </si>
  <si>
    <t>16.2026</t>
  </si>
  <si>
    <t>109613092</t>
  </si>
  <si>
    <t>Cambio controlador y válvula de admisión</t>
  </si>
  <si>
    <t>109613336</t>
  </si>
  <si>
    <t>109613341</t>
  </si>
  <si>
    <t>COMP22 Cbio controlador MK5 válvula admi</t>
  </si>
  <si>
    <t>109654371</t>
  </si>
  <si>
    <t>FUCO26 Cambio Tubo nivel Des Caldera 3</t>
  </si>
  <si>
    <t>LIB. NOTI DOCU IMOP JBFI MACO MOVM PREC*</t>
  </si>
  <si>
    <t>17.2026</t>
  </si>
  <si>
    <t>109882735</t>
  </si>
  <si>
    <t>FLOTADOR EN MAL ESTADO SOPLADOR 8</t>
  </si>
  <si>
    <t>ABIE IMOP KKMP PREC ENET</t>
  </si>
  <si>
    <t>09.2026</t>
  </si>
  <si>
    <t>110005388</t>
  </si>
  <si>
    <t>R-COMP 16 PORTA FILTRO AGUA DESGASTE</t>
  </si>
  <si>
    <t>110011685</t>
  </si>
  <si>
    <t>CTR FILTROS DE CARTUCHOS SATURADOS-MALOS</t>
  </si>
  <si>
    <t>LIB. IMOP MACO MOVM PREC PROG TRAT</t>
  </si>
  <si>
    <t>11.2026</t>
  </si>
  <si>
    <t>110265635</t>
  </si>
  <si>
    <t>R-Cambio caseta portafiltros comp 25</t>
  </si>
  <si>
    <t>LIB. FMAT IMOP PREC TRAT</t>
  </si>
  <si>
    <t>Pl.Tall.Electr.Cen</t>
  </si>
  <si>
    <t>01 INFRAESTRUC CONC DCH</t>
  </si>
  <si>
    <t>109565393</t>
  </si>
  <si>
    <t xml:space="preserve"> reparación Motor CT3 F3 22-319 TEC</t>
  </si>
  <si>
    <t>LIB. FMAT IMOP MOVM PREC TRAT</t>
  </si>
  <si>
    <t>ST</t>
  </si>
  <si>
    <t>Reparación</t>
  </si>
  <si>
    <t>060</t>
  </si>
  <si>
    <t>MANT &amp; PLANIF. TALLER ELECTRICO CENTRAL</t>
  </si>
  <si>
    <t>109797748</t>
  </si>
  <si>
    <t>MOTOR 355HP2300V105,4AMP1490RPM TEC S/T</t>
  </si>
  <si>
    <t>ABIE FENA IMOP KKMP PREC ENET</t>
  </si>
  <si>
    <t>109797840</t>
  </si>
  <si>
    <t>MOTOR DAÑADO 400HP TEC 22-4609</t>
  </si>
  <si>
    <t>109820042</t>
  </si>
  <si>
    <t>Reparacion de motor 22-7022 TER</t>
  </si>
  <si>
    <t>109820055</t>
  </si>
  <si>
    <t>MOTOR 22-7023</t>
  </si>
  <si>
    <t>109822833</t>
  </si>
  <si>
    <t xml:space="preserve"> motor grúa de bombas 22-7024 TERCERO</t>
  </si>
  <si>
    <t>109849687</t>
  </si>
  <si>
    <t>22-5386 200HP 4000V 595RPM FLA</t>
  </si>
  <si>
    <t>LIB. IMOP KKMP MOVM PREC TRAT</t>
  </si>
  <si>
    <t>109893249</t>
  </si>
  <si>
    <t>22-6427 400HP 4160V 65AMP 495RPM FLA</t>
  </si>
  <si>
    <t>109927011</t>
  </si>
  <si>
    <t>Mantención Motor CT 142 22-</t>
  </si>
  <si>
    <t>110032324</t>
  </si>
  <si>
    <t>22-5914 250HP 460V 1485RPM FLO ENTREGADO</t>
  </si>
  <si>
    <t>LIB. CEsC EDET IMOP KKMP MOVM PREC TRAT</t>
  </si>
  <si>
    <t>110032325</t>
  </si>
  <si>
    <t>22-6142 250HP 460V 1486RPM FLO ENTREGADO</t>
  </si>
  <si>
    <t>110054611</t>
  </si>
  <si>
    <t>22-6846 250HP 460V 1485RPM FLO N/CERRAR</t>
  </si>
  <si>
    <t>110419998</t>
  </si>
  <si>
    <t>22-7040 150HP 480V 163AMP 1484RPM TEC</t>
  </si>
  <si>
    <t>110420001</t>
  </si>
  <si>
    <t>22-7039 75KW 460V 116AMP 1486RPM TEC</t>
  </si>
  <si>
    <t>Pl.Maestranza.Cent</t>
  </si>
  <si>
    <t>110150639</t>
  </si>
  <si>
    <t>Rectificar placa base piñón BM</t>
  </si>
  <si>
    <t>LIB. IMOP KKMP PREC TRAT</t>
  </si>
  <si>
    <t>SERVICIO INTERNO MAESTRANZA</t>
  </si>
  <si>
    <t>110304391</t>
  </si>
  <si>
    <t>perforar pillow block piñón mobos 18</t>
  </si>
  <si>
    <t>Modificación</t>
  </si>
  <si>
    <t>050</t>
  </si>
  <si>
    <t>110304394</t>
  </si>
  <si>
    <t>rebajar base pillow block piñón sag-18</t>
  </si>
  <si>
    <t>110304611</t>
  </si>
  <si>
    <t>ensamblado de rueda tripeer</t>
  </si>
  <si>
    <t>110394406</t>
  </si>
  <si>
    <t>Rectificar descansos BM-serie 24(Nuevo)</t>
  </si>
  <si>
    <t>LIB. NOTP FENA IMOP KKMP PREC PROG TRAT</t>
  </si>
  <si>
    <t>110394408</t>
  </si>
  <si>
    <t>Cbio. bronce aliment/descarg. BM serie 5</t>
  </si>
  <si>
    <t>LIB. NOTP FENA IMOP KKMP PREC TRAT</t>
  </si>
  <si>
    <t>110394411</t>
  </si>
  <si>
    <t>Montar acoplamiento BN300</t>
  </si>
  <si>
    <t>LIB. FENA IMOP KKMP PREC TRAT</t>
  </si>
  <si>
    <t>110488917</t>
  </si>
  <si>
    <t>Montar Machón motor ABB Chacador Terc. 1</t>
  </si>
  <si>
    <t>99 ESENCIALES INFRA. SERV. DCH</t>
  </si>
  <si>
    <t>02 GRUAS INFRA DCH</t>
  </si>
  <si>
    <t>110379900</t>
  </si>
  <si>
    <t>MRT 4S MEC MTTO PUENTE GRUA</t>
  </si>
  <si>
    <t>LIB. NOTI IMOP JBFI KKMP PREC PROG TBTR</t>
  </si>
  <si>
    <t>Preventivo Sistemático</t>
  </si>
  <si>
    <t>010</t>
  </si>
  <si>
    <t>110418335</t>
  </si>
  <si>
    <t>110458134</t>
  </si>
  <si>
    <t>Falla Morris  10 ton,Nave Central</t>
  </si>
  <si>
    <t>LIB. NOTI IMOP JBFI KKMP PREC TBTR</t>
  </si>
  <si>
    <t>NP</t>
  </si>
  <si>
    <t>Correctivo No Planificado</t>
  </si>
  <si>
    <t>035</t>
  </si>
  <si>
    <t>CDEE</t>
  </si>
  <si>
    <t>109642762</t>
  </si>
  <si>
    <t>MGA LIMPIEZA Y MTTO.INTERRUPT.SECC.3-4 S</t>
  </si>
  <si>
    <t>LIB. IMOP KKMP PREC TRAT ARPG</t>
  </si>
  <si>
    <t>109701799</t>
  </si>
  <si>
    <t>Mant. Prot. y Med. Swgr  Trafo 3 S/E K-6</t>
  </si>
  <si>
    <t>109910597</t>
  </si>
  <si>
    <t>Mant. c/2 años L-15 S/E CHUQUI - S/E A</t>
  </si>
  <si>
    <t>110186128</t>
  </si>
  <si>
    <t>MGA MTTO.TABLEROS INT Y DESC, SEC EL 1 Y</t>
  </si>
  <si>
    <t>110186130</t>
  </si>
  <si>
    <t>MTTO. TAB. INTERRUP. SECCION ELECT 5-6-7</t>
  </si>
  <si>
    <t>LIB. IMOP KKMP PREC PROG TRAT</t>
  </si>
  <si>
    <t>110456613</t>
  </si>
  <si>
    <t>Revisión y Rep 52HT9 S/E 10A</t>
  </si>
  <si>
    <t>110465140</t>
  </si>
  <si>
    <t>Levantamiento Línea 5kV Alim 5014</t>
  </si>
  <si>
    <t>LIB. NOTI DOCU IMOP JBFI KKMP PREC TBTR</t>
  </si>
  <si>
    <t>110466947</t>
  </si>
  <si>
    <t>STN Traslado Generador a Puerta 2</t>
  </si>
  <si>
    <t>110436353</t>
  </si>
  <si>
    <t>Mantención Subestación SAG 17</t>
  </si>
  <si>
    <t>110436354</t>
  </si>
  <si>
    <t>Mantención Protecciones y Medidas SAG 17</t>
  </si>
  <si>
    <t>110453648</t>
  </si>
  <si>
    <t>STN Apoyo con camión alza personas</t>
  </si>
  <si>
    <t>110479295</t>
  </si>
  <si>
    <t>MGA Mantención Celfda ER-05 Tchitack</t>
  </si>
  <si>
    <t>03 SIST. C.INCENDIO INFRA DCH</t>
  </si>
  <si>
    <t>110345001</t>
  </si>
  <si>
    <t>INSPECCION SISTEMA SAPCI S/E KM6</t>
  </si>
  <si>
    <t>Preventivo Predictivo</t>
  </si>
  <si>
    <t>020</t>
  </si>
  <si>
    <t>110345002</t>
  </si>
  <si>
    <t>INSPECCION SISTEMA SAPCI S/E 10</t>
  </si>
  <si>
    <t>110345005</t>
  </si>
  <si>
    <t>INSPECCION SISTEMA SAPCI S/E CHUQUICAMAT</t>
  </si>
  <si>
    <t>110345006</t>
  </si>
  <si>
    <t>INSPECCION SISTEMA SAPCI  S/E SUB-A</t>
  </si>
  <si>
    <t>Pl.Calderería.Cent</t>
  </si>
  <si>
    <t>110373141</t>
  </si>
  <si>
    <t>CAMBIO DE CORAZA POSTE SH N⁰ 10095854</t>
  </si>
  <si>
    <t>LIB. NOTP IMOP KKMP PREC PROG TRAT</t>
  </si>
  <si>
    <t>SERVICIO INTERNO CALDERERIA</t>
  </si>
  <si>
    <t>110387261</t>
  </si>
  <si>
    <t>CAMBIO CORAZA POSTE SH N°10099065</t>
  </si>
  <si>
    <t>110387265</t>
  </si>
  <si>
    <t>CAMBIO CORAZA POSTE SH N°10104410</t>
  </si>
  <si>
    <t>% Planificado (HH)</t>
  </si>
  <si>
    <t>HH Plan. Reales</t>
  </si>
  <si>
    <t>HH Totales Reales</t>
  </si>
  <si>
    <t>Fecha Libera Orden</t>
  </si>
  <si>
    <t>Fecha inicio real</t>
  </si>
  <si>
    <t>Grupo hojas de ruta</t>
  </si>
  <si>
    <t>21.2026</t>
  </si>
  <si>
    <t>110329599</t>
  </si>
  <si>
    <t>STN REP. CAJA CONEX. ALUMB. PATIO S/E A</t>
  </si>
  <si>
    <t>NOTI CTEC JBFI NLIQ PWF  RESA PLAN</t>
  </si>
  <si>
    <t>98949</t>
  </si>
  <si>
    <t>110504750</t>
  </si>
  <si>
    <t>STN INSP PEDESTRE LINEA ENC TCHITACK</t>
  </si>
  <si>
    <t>NOTI JBFI LIB. NLIQ PLAN PWF</t>
  </si>
  <si>
    <t>110258373</t>
  </si>
  <si>
    <t>MTTO. PAÑO TRANSFORMADOR 9 S/E 10A</t>
  </si>
  <si>
    <t>24496</t>
  </si>
  <si>
    <t>NOTI CTEC JBFI NLIQ PWF PLAN</t>
  </si>
  <si>
    <t>110464146</t>
  </si>
  <si>
    <t>Termografía 2M S/E A</t>
  </si>
  <si>
    <t>25012</t>
  </si>
  <si>
    <t>110464147</t>
  </si>
  <si>
    <t>Termografía 2M S/E Chuquicamata</t>
  </si>
  <si>
    <t>110472936</t>
  </si>
  <si>
    <t>Termografía 2M S/E 10A</t>
  </si>
  <si>
    <t>110447767</t>
  </si>
  <si>
    <t>MED.DESCARGA PARC.S/E TCHITACK TR AUX.1</t>
  </si>
  <si>
    <t>18845</t>
  </si>
  <si>
    <t>110447768</t>
  </si>
  <si>
    <t>MED.DESCARGA PARC.S/E TCHITACK TR AUX.2</t>
  </si>
  <si>
    <t>110468802</t>
  </si>
  <si>
    <t>INSPECCION ALIMENTADOR VENTILACIÓN EXTRA</t>
  </si>
  <si>
    <t>98488</t>
  </si>
  <si>
    <t>110325637</t>
  </si>
  <si>
    <t>PRO - Lvtmto Printouts Tchitack 220kV</t>
  </si>
  <si>
    <t>24474</t>
  </si>
  <si>
    <t>110413484</t>
  </si>
  <si>
    <t>INSP ALIMENTADOR 1 VENTILACIÓN INYECCIÓn</t>
  </si>
  <si>
    <t>10371</t>
  </si>
  <si>
    <t>110522037</t>
  </si>
  <si>
    <t>Cambiar silica gel TR15 sub/est A</t>
  </si>
  <si>
    <t>56675</t>
  </si>
  <si>
    <t>110522038</t>
  </si>
  <si>
    <t>cambio silica gel TR quinto molino</t>
  </si>
  <si>
    <t>110432889</t>
  </si>
  <si>
    <t>MRT 4S MEC TOMA MUESTRA ACEITE S21</t>
  </si>
  <si>
    <t>92590</t>
  </si>
  <si>
    <t>110447925</t>
  </si>
  <si>
    <t>INSPECCION SALA ELECTRICA</t>
  </si>
  <si>
    <t>96762</t>
  </si>
  <si>
    <t>110448000</t>
  </si>
  <si>
    <t>MRT 4S MTTO MEC BOMBA AURORA</t>
  </si>
  <si>
    <t>98030</t>
  </si>
  <si>
    <t>110448001</t>
  </si>
  <si>
    <t>MRT 4S MTTO MEC BOMBA 3C</t>
  </si>
  <si>
    <t>98031</t>
  </si>
  <si>
    <t>110448901</t>
  </si>
  <si>
    <t>MRT 1S MEC LIMPIEZA MOLINO HARDINGE 1</t>
  </si>
  <si>
    <t>49861</t>
  </si>
  <si>
    <t>110448902</t>
  </si>
  <si>
    <t>MRT 1S MEC LIMPIEZA MOLINO HARDINGE 2</t>
  </si>
  <si>
    <t>110448903</t>
  </si>
  <si>
    <t>MRT 1S MEC LIMPIEZA MOLINO TORRE</t>
  </si>
  <si>
    <t>110448905</t>
  </si>
  <si>
    <t>MRT 1S MEC LIMPIEZA AEROVENTILADORES</t>
  </si>
  <si>
    <t>92335</t>
  </si>
  <si>
    <t>110448908</t>
  </si>
  <si>
    <t>MRT 1S MTTO CORREA 132</t>
  </si>
  <si>
    <t>98137</t>
  </si>
  <si>
    <t>110448909</t>
  </si>
  <si>
    <t>MRT 1S MTTO CORREA 129</t>
  </si>
  <si>
    <t>110448911</t>
  </si>
  <si>
    <t>MRT 1S LIMPIEZA FILTRO DE MANGA</t>
  </si>
  <si>
    <t>98306</t>
  </si>
  <si>
    <t>110468786</t>
  </si>
  <si>
    <t>MRT 3S MEC MTTO ANÁLISIS VIBRACIONES CTR</t>
  </si>
  <si>
    <t>97235</t>
  </si>
  <si>
    <t>110468787</t>
  </si>
  <si>
    <t>MRT 3S MEC MTTO ANÁLISIS VIBRACIONES PHC</t>
  </si>
  <si>
    <t>110500458</t>
  </si>
  <si>
    <t>MRT 4S MEC INSP SOPLADOR N°7</t>
  </si>
  <si>
    <t>96563</t>
  </si>
  <si>
    <t>110500509</t>
  </si>
  <si>
    <t>MRT 6M MTTO COMPRESOR N°29</t>
  </si>
  <si>
    <t>35354</t>
  </si>
  <si>
    <t>109037159</t>
  </si>
  <si>
    <t>Cambio de calefactor de aceite Comp N°1</t>
  </si>
  <si>
    <t>40779</t>
  </si>
  <si>
    <t>109170171</t>
  </si>
  <si>
    <t>COMP 8 CAMBIO VALVULAS AD/VE (ACT)</t>
  </si>
  <si>
    <t>109207353</t>
  </si>
  <si>
    <t>COMP 8 Cambio rotor de alta  (ACT)</t>
  </si>
  <si>
    <t>109207578</t>
  </si>
  <si>
    <t>COMP 8 Cambio roto de baja (ACT)</t>
  </si>
  <si>
    <t>109356986</t>
  </si>
  <si>
    <t>Cambio adaptadores en compresores 90 psi</t>
  </si>
  <si>
    <t>109361620</t>
  </si>
  <si>
    <t>Mejoras líneas lubricación sopladores.</t>
  </si>
  <si>
    <t>110005386</t>
  </si>
  <si>
    <t>R-COMP 12 PORTA FILTRO AGUA DESGASTE</t>
  </si>
  <si>
    <t>110023389</t>
  </si>
  <si>
    <t>COMP 28 PORTA FILTRO AGUA DESGASTE</t>
  </si>
  <si>
    <t>110023390</t>
  </si>
  <si>
    <t>COMP 29 PORTA FILTRO AGUA DESGASTE</t>
  </si>
  <si>
    <t>110475425</t>
  </si>
  <si>
    <t>48M MTTO COMPRESOR 08</t>
  </si>
  <si>
    <t>110499029</t>
  </si>
  <si>
    <t>(Q) COMP 20 -CAMBIO DE ENFRIADERA</t>
  </si>
  <si>
    <t>NOTI JBFI LIB. NLIQ PLAN PWF  RESA</t>
  </si>
  <si>
    <t>110499030</t>
  </si>
  <si>
    <t>TRAB PREVIOS MTTO 6M COMP 27</t>
  </si>
  <si>
    <t>110499034</t>
  </si>
  <si>
    <t>INST BIOMETRICO ACCESO SALA 11</t>
  </si>
  <si>
    <t>110499035</t>
  </si>
  <si>
    <t>(Q) 48M MTTO COMPRESOR 08</t>
  </si>
  <si>
    <t>110499456</t>
  </si>
  <si>
    <t>Limpieza de Linea 1 de CAL</t>
  </si>
  <si>
    <t>110513924</t>
  </si>
  <si>
    <t>BAC 1 sin protección parte móvil</t>
  </si>
  <si>
    <t>NOTI CTEC JBFI NLIQ PWF  RESA</t>
  </si>
  <si>
    <t>110522634</t>
  </si>
  <si>
    <t xml:space="preserve"> visor de aceite sucio y bajo nivel</t>
  </si>
  <si>
    <t>110525041</t>
  </si>
  <si>
    <t>Filtració de agua por válvula</t>
  </si>
  <si>
    <t>110531565</t>
  </si>
  <si>
    <t>CAMBIO  filtro aire C27 ADM SATURADO</t>
  </si>
  <si>
    <t>110537056</t>
  </si>
  <si>
    <t>Cambio llave de corte tubo nivel</t>
  </si>
  <si>
    <t>NOTI CTEC JBFI NLIQ PWF</t>
  </si>
  <si>
    <t>110543322</t>
  </si>
  <si>
    <t>Revision  C2: V/v venteo trabada</t>
  </si>
  <si>
    <t>110543928</t>
  </si>
  <si>
    <t>Revision C3 Bba ENF2 ruido y alto amp</t>
  </si>
  <si>
    <t>110544879</t>
  </si>
  <si>
    <t>Línea Despiche ciclón rota</t>
  </si>
  <si>
    <t>110547174</t>
  </si>
  <si>
    <t>Habilitacion de bomba BAC 3</t>
  </si>
  <si>
    <t>110547304</t>
  </si>
  <si>
    <t>Filtracion de vapor en purga continua</t>
  </si>
  <si>
    <t>110549479</t>
  </si>
  <si>
    <t>Lubricador automático en falla</t>
  </si>
  <si>
    <t>110550393</t>
  </si>
  <si>
    <t>filtracion por sello bba 011</t>
  </si>
  <si>
    <t>110554318</t>
  </si>
  <si>
    <t>Falla lubricador automático</t>
  </si>
  <si>
    <t>NOTI JBFI LIB. NLIQ PWF  RESA</t>
  </si>
  <si>
    <t>110448004</t>
  </si>
  <si>
    <t>MRT 4S MEC MTTO PUENTE GRUA SOPLADORES</t>
  </si>
  <si>
    <t>98123</t>
  </si>
  <si>
    <t>110500459</t>
  </si>
  <si>
    <t>INSPECCIO SAPCI S/E SOPLADORES GIS 100KV</t>
  </si>
  <si>
    <t>98157</t>
  </si>
  <si>
    <t>110495171</t>
  </si>
  <si>
    <t>INSPECCIÓN SAPCI S/E K1 SALA CONTROL</t>
  </si>
  <si>
    <t>110495172</t>
  </si>
  <si>
    <t>INSPECCIÓN SAPCI S/E TCHITACK GIS 13,8KV</t>
  </si>
  <si>
    <t>05 RESPAL. E.ELEC. INFRA DCH</t>
  </si>
  <si>
    <t>110440236</t>
  </si>
  <si>
    <t>STN CAMBIO EXTINTOR UPS N°2 SCADA S/E A</t>
  </si>
  <si>
    <t>110440238</t>
  </si>
  <si>
    <t>STN CAMBIO EXTINTOR UPS N°1 SCADA S/E A</t>
  </si>
  <si>
    <t>Cumplimiento Prog. Semanal (Op)</t>
  </si>
  <si>
    <t>Indicador cumple sem</t>
  </si>
  <si>
    <t>Total Op. Programadas</t>
  </si>
  <si>
    <t>S Agr Fec Ini + Temp</t>
  </si>
  <si>
    <t>110475282</t>
  </si>
  <si>
    <t>STN NORM TABLEROS Y CAMBIO AP CASCO HIST</t>
  </si>
  <si>
    <t>NOTP CTEC NLIQ PLAN</t>
  </si>
  <si>
    <t>109124261</t>
  </si>
  <si>
    <t>LAVADO DE AISLADORES LINEA 12</t>
  </si>
  <si>
    <t>CTEC INBO NLIQ PLAN</t>
  </si>
  <si>
    <t>109151319</t>
  </si>
  <si>
    <t>Mant. Distrib. 13,8 Kv  Trafo 2B  S/E 10</t>
  </si>
  <si>
    <t>LIB. NLIQ PLAN</t>
  </si>
  <si>
    <t>110264828</t>
  </si>
  <si>
    <t>Reparar ducto alim. al MH-2</t>
  </si>
  <si>
    <t>109500285</t>
  </si>
  <si>
    <t>CAMBIO BBA 3B - FILTRACION</t>
  </si>
  <si>
    <t>109500289</t>
  </si>
  <si>
    <t>CAMBIO BBA 3C - FILTRACION</t>
  </si>
  <si>
    <t>NOTP LIB. NLIQ PLAN</t>
  </si>
  <si>
    <t>% Cumpl. Plan Matriz</t>
  </si>
  <si>
    <t>Plan Matriz</t>
  </si>
  <si>
    <t>Coeficiente PMA</t>
  </si>
  <si>
    <t>Cantidad de Operaciones Ejecutadas</t>
  </si>
  <si>
    <t>Cantidad de Operaciones totales</t>
  </si>
  <si>
    <t>110443469</t>
  </si>
  <si>
    <t>INSPECCION MT CHANCADO PRIMARIO PTMP</t>
  </si>
  <si>
    <t>CTEC NOTI DOCU IMOP JBFI KKMP PREC PROG</t>
  </si>
  <si>
    <t>110462292</t>
  </si>
  <si>
    <t>Insp. 4M S/E Dist. 13.8 kV Mina</t>
  </si>
  <si>
    <t>LIB. DOCU IMOP KKMP PREC PROG TRAT</t>
  </si>
  <si>
    <t>110443466</t>
  </si>
  <si>
    <t>STN LAVADO DE AISLADORES LINEA 22</t>
  </si>
  <si>
    <t>109753335</t>
  </si>
  <si>
    <t>LAVADO DE AISLADORES S/E A</t>
  </si>
  <si>
    <t>110494994</t>
  </si>
  <si>
    <t>TOMA MUESTRA ACEITE S/E TCHITACK TR1</t>
  </si>
  <si>
    <t>110486153</t>
  </si>
  <si>
    <t>TOMA MUESTRA ACEITE S/E TCHITACK TR2</t>
  </si>
  <si>
    <t>110443695</t>
  </si>
  <si>
    <t>MEDICIÓN DESCARGAS PARCIALES ATR2</t>
  </si>
  <si>
    <t>110427496</t>
  </si>
  <si>
    <t>MED.DESCARGAS PARCIALES S/E TCHITACk TR2</t>
  </si>
  <si>
    <t>110462343</t>
  </si>
  <si>
    <t>MRT 12S MEC MTTO PUENTE GRUA NAVE COMP</t>
  </si>
  <si>
    <t>110436792</t>
  </si>
  <si>
    <t>MRT 16S MEC MTTO PUENTE GRUA SALA COMP</t>
  </si>
  <si>
    <t>110464277</t>
  </si>
  <si>
    <t>Pto. Trabajo</t>
  </si>
  <si>
    <t>C82</t>
  </si>
  <si>
    <t>CGSMPE03</t>
  </si>
  <si>
    <t>CGSSERME</t>
  </si>
  <si>
    <t>C81</t>
  </si>
  <si>
    <t>C84</t>
  </si>
  <si>
    <t>C71</t>
  </si>
  <si>
    <t>C72</t>
  </si>
  <si>
    <t>CGSTMRMM</t>
  </si>
  <si>
    <t>Gr. planif</t>
  </si>
  <si>
    <t>Gr. planif.PM</t>
  </si>
  <si>
    <t>Criterio</t>
  </si>
  <si>
    <t>Columna3</t>
  </si>
  <si>
    <t>Grupo planificación</t>
  </si>
  <si>
    <t>Orden</t>
  </si>
  <si>
    <t>Texto breve</t>
  </si>
  <si>
    <t>Pto.tbjo.responsable</t>
  </si>
  <si>
    <t>Ubicación técnica</t>
  </si>
  <si>
    <t>Denom.ubic.técnica</t>
  </si>
  <si>
    <t>Status de sistema</t>
  </si>
  <si>
    <t>Status de usuario</t>
  </si>
  <si>
    <t>Fecha inicio extrema</t>
  </si>
  <si>
    <t>Fecha fin extrema</t>
  </si>
  <si>
    <t>Autor</t>
  </si>
  <si>
    <t>Modificado por</t>
  </si>
  <si>
    <t>Fecha liber.real</t>
  </si>
  <si>
    <t>Fecha de creación</t>
  </si>
  <si>
    <t>Inicio programado</t>
  </si>
  <si>
    <t>Fecha fin real</t>
  </si>
  <si>
    <t>Plan mant.preventivo</t>
  </si>
  <si>
    <t>Posición mantenim.</t>
  </si>
  <si>
    <t>Costes tot.reales</t>
  </si>
  <si>
    <t>Tota general (plan)</t>
  </si>
  <si>
    <t>30000012</t>
  </si>
  <si>
    <t>CHSS-SU-CTS-A90-COS08</t>
  </si>
  <si>
    <t>COMPRESOR CENTRIFUGO ELLIOTT 08</t>
  </si>
  <si>
    <t>TBTR</t>
  </si>
  <si>
    <t>VVERG011</t>
  </si>
  <si>
    <t>AAGUI058</t>
  </si>
  <si>
    <t/>
  </si>
  <si>
    <t>30042953</t>
  </si>
  <si>
    <t>visor de aceite sucio y bajo nivel</t>
  </si>
  <si>
    <t>CHSS-SU-CTS-A90-COS12-SLU</t>
  </si>
  <si>
    <t>SISTEMA DE LUBRICACIÓN</t>
  </si>
  <si>
    <t>CTEC NOTI DOCU IMOP JBFI KKMP PREC</t>
  </si>
  <si>
    <t>MCHAV005</t>
  </si>
  <si>
    <t>28514171</t>
  </si>
  <si>
    <t>CHSS-SU-CTS-A90-COS01-SLU-CALF</t>
  </si>
  <si>
    <t>CALEFACTOR DE ACEITE</t>
  </si>
  <si>
    <t>CTEC NOTI DOCU IMOP JBFI MACO MOVM PREC*</t>
  </si>
  <si>
    <t>TRAMI002</t>
  </si>
  <si>
    <t>28653199</t>
  </si>
  <si>
    <t>29841887</t>
  </si>
  <si>
    <t>CDEE-SEP-SEA-PAT</t>
  </si>
  <si>
    <t>PATIO 100KV</t>
  </si>
  <si>
    <t>SBAUT001</t>
  </si>
  <si>
    <t>DVALD025</t>
  </si>
  <si>
    <t>29972548</t>
  </si>
  <si>
    <t>CHSS-SU-PHC-MMH-MLH01</t>
  </si>
  <si>
    <t>MOLINO HARDINGE Nº1</t>
  </si>
  <si>
    <t>TRAT</t>
  </si>
  <si>
    <t>IP1020260420</t>
  </si>
  <si>
    <t>CMEND008</t>
  </si>
  <si>
    <t>139516</t>
  </si>
  <si>
    <t>251835</t>
  </si>
  <si>
    <t>29972555</t>
  </si>
  <si>
    <t>CHSS-SU-PHC-TCH-CT132</t>
  </si>
  <si>
    <t>CORREA TRANSPORTADORA Nº132</t>
  </si>
  <si>
    <t>225688</t>
  </si>
  <si>
    <t>419098</t>
  </si>
  <si>
    <t>29972558</t>
  </si>
  <si>
    <t>CHSS-SU-PHC-SAL-SIL01</t>
  </si>
  <si>
    <t>SILO 01</t>
  </si>
  <si>
    <t>225920</t>
  </si>
  <si>
    <t>419420</t>
  </si>
  <si>
    <t>30023764</t>
  </si>
  <si>
    <t>CHSS-SU-CTS-A30-CAP20</t>
  </si>
  <si>
    <t>COMPRESOR CENTRIFUGO 20</t>
  </si>
  <si>
    <t>LIB. NOTP DOCU IMOP KKMP PREC PROG</t>
  </si>
  <si>
    <t>30023767</t>
  </si>
  <si>
    <t>30023741</t>
  </si>
  <si>
    <t>CHSS-SU-PHC-TLC-SPIVV</t>
  </si>
  <si>
    <t>SISTEMA PIPING Y VALVULAS</t>
  </si>
  <si>
    <t>30027247</t>
  </si>
  <si>
    <t>CHSS-SU-CTS-A30-CAP29</t>
  </si>
  <si>
    <t>COMPRESOR CENTRIFUGO 29</t>
  </si>
  <si>
    <t>136288</t>
  </si>
  <si>
    <t>246318</t>
  </si>
  <si>
    <t>30029627</t>
  </si>
  <si>
    <t>CHSS-SU-CTS-GDV-CALD3-BC1</t>
  </si>
  <si>
    <t>BOMBA BAC 1 Caldera N°3</t>
  </si>
  <si>
    <t>MJAIM002</t>
  </si>
  <si>
    <t>30055856</t>
  </si>
  <si>
    <t>CHSS-SU-CTS-A70-CAP27</t>
  </si>
  <si>
    <t>COMPRESOR 27</t>
  </si>
  <si>
    <t>28691634</t>
  </si>
  <si>
    <t>28691636</t>
  </si>
  <si>
    <t>29498011</t>
  </si>
  <si>
    <t>CHSS-SU-CTS-A90-COS12-SEN-ENFA</t>
  </si>
  <si>
    <t>ENFRIADERA DE AGUA</t>
  </si>
  <si>
    <t>29972549</t>
  </si>
  <si>
    <t>CHSS-SU-PHC-MMH-MLH02</t>
  </si>
  <si>
    <t>MOLINO HARDINGE Nº2</t>
  </si>
  <si>
    <t>139517</t>
  </si>
  <si>
    <t>251836</t>
  </si>
  <si>
    <t>29972556</t>
  </si>
  <si>
    <t>CHSS-SU-PHC-TCH-CT129</t>
  </si>
  <si>
    <t>CORREA TRANSPORTADORA Nº129</t>
  </si>
  <si>
    <t>419099</t>
  </si>
  <si>
    <t>29993410</t>
  </si>
  <si>
    <t>CHSS-SU-CTR-INS</t>
  </si>
  <si>
    <t>INSTALACIONES INDUSTRIALES</t>
  </si>
  <si>
    <t>IP1020260427</t>
  </si>
  <si>
    <t>225372</t>
  </si>
  <si>
    <t>418430</t>
  </si>
  <si>
    <t>30026607</t>
  </si>
  <si>
    <t>CHSS-SU-CTS-A20-SOP07</t>
  </si>
  <si>
    <t>SOPLADOR INGERSOL RAND Nº 7</t>
  </si>
  <si>
    <t>IP1020260506</t>
  </si>
  <si>
    <t>225357</t>
  </si>
  <si>
    <t>418515</t>
  </si>
  <si>
    <t>30049115</t>
  </si>
  <si>
    <t>CHSS-SU-CTS-GDV-BAC01-VAL-VALM</t>
  </si>
  <si>
    <t>VALVULA DE FLUJO MINIMO</t>
  </si>
  <si>
    <t>30049117</t>
  </si>
  <si>
    <t>CHSS-SU-CTS-A90-COS01-SEN-ENFA</t>
  </si>
  <si>
    <t>28846284</t>
  </si>
  <si>
    <t>CHSS-SU-CTS-A90</t>
  </si>
  <si>
    <t>GENERACION DE AIRE 90 PSIG</t>
  </si>
  <si>
    <t>28850844</t>
  </si>
  <si>
    <t>CHSS-SU-CTS-A20</t>
  </si>
  <si>
    <t>GENERACION DE AIRE DE 20 LB</t>
  </si>
  <si>
    <t>29948766</t>
  </si>
  <si>
    <t>CHSS-SE-SUP-SPA-SUBEA-BAT-UP2</t>
  </si>
  <si>
    <t>UPS N°2 CONTROL SCADA SUB-A</t>
  </si>
  <si>
    <t>ASALA015</t>
  </si>
  <si>
    <t>29948764</t>
  </si>
  <si>
    <t>CHSS-SE-SUP-SPA-SUBEA-BAT-UP1</t>
  </si>
  <si>
    <t>UPS N°1 CONTROL SCADA SUB-A</t>
  </si>
  <si>
    <t>29971638</t>
  </si>
  <si>
    <t>CHSS-SU-CTS-AUX-PGR20</t>
  </si>
  <si>
    <t>PUENTE GRÚA 20 TONS NAVE SOPLADORES</t>
  </si>
  <si>
    <t>LIB. NOTI IMOP JBFI KKMP PREC PROG</t>
  </si>
  <si>
    <t>225701</t>
  </si>
  <si>
    <t>419112</t>
  </si>
  <si>
    <t>29972550</t>
  </si>
  <si>
    <t>CHSS-SU-PHC-MMV-MLNTR</t>
  </si>
  <si>
    <t>MOLINO  TORRE</t>
  </si>
  <si>
    <t>139518</t>
  </si>
  <si>
    <t>251837</t>
  </si>
  <si>
    <t>29993411</t>
  </si>
  <si>
    <t>CHSS-SU-PHC-INS</t>
  </si>
  <si>
    <t>INSTALACIONES INDUSTRIALES PLANTA CAL</t>
  </si>
  <si>
    <t>418431</t>
  </si>
  <si>
    <t>30031043</t>
  </si>
  <si>
    <t>CDEE-SEP-SP2</t>
  </si>
  <si>
    <t>SUBESTACION Tchitack</t>
  </si>
  <si>
    <t>LIB. NOTP IMOP KKMP PREC PROG</t>
  </si>
  <si>
    <t>JCARR068</t>
  </si>
  <si>
    <t>30069082</t>
  </si>
  <si>
    <t>CHSS-SU-CTS-A90-COS02-INS</t>
  </si>
  <si>
    <t>SISTEMA DE CONTROL Y AUTOMATIZACION</t>
  </si>
  <si>
    <t>MREINES</t>
  </si>
  <si>
    <t>29532244</t>
  </si>
  <si>
    <t>CHSS-SU-CTS-A30-CAP28-SEN</t>
  </si>
  <si>
    <t>SISTEMA DE ENFRIAMIENTO</t>
  </si>
  <si>
    <t>29532245</t>
  </si>
  <si>
    <t>CHSS-SU-CTS-A30-CAP29-SEN</t>
  </si>
  <si>
    <t>29775660</t>
  </si>
  <si>
    <t>CHSS-SE-PAT-S1A-PANT9</t>
  </si>
  <si>
    <t>PAÑO TRANSFORMADOR Nº9</t>
  </si>
  <si>
    <t>IP1020260216</t>
  </si>
  <si>
    <t>79880</t>
  </si>
  <si>
    <t>143912</t>
  </si>
  <si>
    <t>29971634</t>
  </si>
  <si>
    <t>CHSS-SU-PHC-MMH-BBAPZ</t>
  </si>
  <si>
    <t>BOMBA POZO AURORA 15</t>
  </si>
  <si>
    <t>225401</t>
  </si>
  <si>
    <t>418491</t>
  </si>
  <si>
    <t>29971635</t>
  </si>
  <si>
    <t>CHSS-SU-PHC-TLC-BBA3C</t>
  </si>
  <si>
    <t>BOMBA 3C CCON</t>
  </si>
  <si>
    <t>225432</t>
  </si>
  <si>
    <t>418492</t>
  </si>
  <si>
    <t>30020981</t>
  </si>
  <si>
    <t>CHSS-SE-SUP-SPA-SUBK1-SAP</t>
  </si>
  <si>
    <t>SISTEMA SAPCI S/E K1</t>
  </si>
  <si>
    <t>IP1020260505</t>
  </si>
  <si>
    <t>225930</t>
  </si>
  <si>
    <t>419472</t>
  </si>
  <si>
    <t>29823944</t>
  </si>
  <si>
    <t>CHSS-SE-SUP-SPA-SUBTC-SWG-SWG1</t>
  </si>
  <si>
    <t>SWITCHGEAR GIS 220KV 2000A 25KA</t>
  </si>
  <si>
    <t>AVALE004</t>
  </si>
  <si>
    <t>JGALA017</t>
  </si>
  <si>
    <t>29971559</t>
  </si>
  <si>
    <t>CHSS-SU-CTS-SAL</t>
  </si>
  <si>
    <t>SALAS ELECTRICAS</t>
  </si>
  <si>
    <t>224029</t>
  </si>
  <si>
    <t>415489</t>
  </si>
  <si>
    <t>29972552</t>
  </si>
  <si>
    <t>CHSS-SU-CTS-A70</t>
  </si>
  <si>
    <t>GENERACION DE AIRE DE 70 LB</t>
  </si>
  <si>
    <t>220521</t>
  </si>
  <si>
    <t>406889</t>
  </si>
  <si>
    <t>30020982</t>
  </si>
  <si>
    <t>CHSS-SE-SUP-SPA-SUBTC-SAP</t>
  </si>
  <si>
    <t>SISTEMA SAPCI S/E TCHITACK</t>
  </si>
  <si>
    <t>226085</t>
  </si>
  <si>
    <t>419626</t>
  </si>
  <si>
    <t>30023770</t>
  </si>
  <si>
    <t>30023744</t>
  </si>
  <si>
    <t>CHSS-SU-CTS-SAL-SLT11</t>
  </si>
  <si>
    <t>SALA ELECTRICA Nº11 SALA BATERÍAS DIESEL</t>
  </si>
  <si>
    <t>30012149</t>
  </si>
  <si>
    <t>CHSS-SE-SUP-SPA-SUBEA</t>
  </si>
  <si>
    <t>SUBESTACION  A</t>
  </si>
  <si>
    <t>ECAAMANO</t>
  </si>
  <si>
    <t>30055401</t>
  </si>
  <si>
    <t>CHSS-SU-CTS-A90-COS03-SEN</t>
  </si>
  <si>
    <t>30071232</t>
  </si>
  <si>
    <t>CHSS-SU-CTS-A90-COS02</t>
  </si>
  <si>
    <t>COMPRESOR CENTRIFUGO ELLIOTT 02</t>
  </si>
  <si>
    <t>30074837</t>
  </si>
  <si>
    <t>CHSS-SU-CTS-GDV-CALD3-PRG</t>
  </si>
  <si>
    <t>PURGAS</t>
  </si>
  <si>
    <t>30076801</t>
  </si>
  <si>
    <t>CHSS-SU-CTS-ENF-MTB03</t>
  </si>
  <si>
    <t>MOTO-BOMBA DE CIRCULACION BOOSTER Nº3</t>
  </si>
  <si>
    <t>VTORR010</t>
  </si>
  <si>
    <t>30076726</t>
  </si>
  <si>
    <t>CHSS-SU-PHC-TLC-BBA11-MTB</t>
  </si>
  <si>
    <t>MOTO-BOMBA 11 LECHADA DE CAL HACIA ATP</t>
  </si>
  <si>
    <t>29909521</t>
  </si>
  <si>
    <t>CHSS-SE-AA5-GTH-V1INY</t>
  </si>
  <si>
    <t>ALIMENTADOR 1 VENTILACIÓN INYECCIÓN</t>
  </si>
  <si>
    <t>29956157</t>
  </si>
  <si>
    <t>IP1020260414</t>
  </si>
  <si>
    <t>221166</t>
  </si>
  <si>
    <t>408139</t>
  </si>
  <si>
    <t>30026608</t>
  </si>
  <si>
    <t>CHSS-SE-SUP-SPA-SUBSO-SAP</t>
  </si>
  <si>
    <t>SISTEMA SAPCI S/E SOPLADORES</t>
  </si>
  <si>
    <t>226009</t>
  </si>
  <si>
    <t>419608</t>
  </si>
  <si>
    <t>30012164</t>
  </si>
  <si>
    <t>CHSS-SE-SUP-SPA-SUB1A</t>
  </si>
  <si>
    <t>SUBESTACION  10A</t>
  </si>
  <si>
    <t>29971421</t>
  </si>
  <si>
    <t>CHSS-SE-SUP-SPA-SUBTC-TRF-TRA3</t>
  </si>
  <si>
    <t>TRANSFORMADOR T3 34.5/13.8KV 15/20MVA</t>
  </si>
  <si>
    <t>204429</t>
  </si>
  <si>
    <t>375589</t>
  </si>
  <si>
    <t>29971422</t>
  </si>
  <si>
    <t>CHSS-SE-SUP-SPA-SUBTC-TRF-TRA4</t>
  </si>
  <si>
    <t>TRANSFORMADOR T4 34.5/13.8KV 15/20MVA</t>
  </si>
  <si>
    <t>204430</t>
  </si>
  <si>
    <t>375590</t>
  </si>
  <si>
    <t>29988466</t>
  </si>
  <si>
    <t>IP1020260425</t>
  </si>
  <si>
    <t>155152</t>
  </si>
  <si>
    <t>279869</t>
  </si>
  <si>
    <t>29988467</t>
  </si>
  <si>
    <t>CHSS-SE-SUP-SPA-SUBCH</t>
  </si>
  <si>
    <t>SUBESTACION CHUQUICAMATA</t>
  </si>
  <si>
    <t>155153</t>
  </si>
  <si>
    <t>279873</t>
  </si>
  <si>
    <t>29993426</t>
  </si>
  <si>
    <t>CHSS-SE-AA5-GTH-ALVEX</t>
  </si>
  <si>
    <t>ALIMENTADOR VENTILACIÓN EXTRACCIÓN</t>
  </si>
  <si>
    <t>226580</t>
  </si>
  <si>
    <t>420025</t>
  </si>
  <si>
    <t>29997838</t>
  </si>
  <si>
    <t>IP1020260428</t>
  </si>
  <si>
    <t>155155</t>
  </si>
  <si>
    <t>279881</t>
  </si>
  <si>
    <t>30075439</t>
  </si>
  <si>
    <t>CHSS-SU-CTS-GDV-BAC03</t>
  </si>
  <si>
    <t>BOMBA BAC 3 Alimentación Horno Flash</t>
  </si>
  <si>
    <t>30082700</t>
  </si>
  <si>
    <t>CHSS-SU-CTS-ENF-BCPV1</t>
  </si>
  <si>
    <t>BOMBA CIRCULADORA 1 VAPOR SOBRANTE</t>
  </si>
  <si>
    <t>LIB. NOTI IMOP JBFI KKMP PREC</t>
  </si>
  <si>
    <t>PMLIBIE</t>
  </si>
  <si>
    <t>Psto. Trabaj</t>
  </si>
  <si>
    <t>Actividad PM</t>
  </si>
  <si>
    <t>Txt. Breve</t>
  </si>
  <si>
    <t>Horizonte</t>
  </si>
  <si>
    <t>Planificado</t>
  </si>
  <si>
    <t>Imprevisto</t>
  </si>
  <si>
    <t>Gr. Planif</t>
  </si>
  <si>
    <t>Gr.Planif</t>
  </si>
  <si>
    <t>CGSSERTE</t>
  </si>
  <si>
    <t>CGSSTM02</t>
  </si>
  <si>
    <t>CGSSTM03</t>
  </si>
  <si>
    <t>Gr.planif</t>
  </si>
  <si>
    <t>Cumple</t>
  </si>
  <si>
    <t>No Cumple</t>
  </si>
  <si>
    <t>Psto. Trabajo</t>
  </si>
  <si>
    <t>Avisos Pendientes</t>
  </si>
  <si>
    <t>Avisos</t>
  </si>
  <si>
    <t>Total general</t>
  </si>
  <si>
    <t>Órdenes Pendientes</t>
  </si>
  <si>
    <t>Órdenes</t>
  </si>
  <si>
    <t>% Trabajo Planificado</t>
  </si>
  <si>
    <t>Suma de HH Totales Reales</t>
  </si>
  <si>
    <t>Cumplimiento</t>
  </si>
  <si>
    <t>Programa Semanal</t>
  </si>
  <si>
    <t>Suma de Total Op. Programadas</t>
  </si>
  <si>
    <t>% Cumplimiento</t>
  </si>
  <si>
    <t>Suma de Cantidad de Operaciones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</si>
</sst>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;\-#,##0;#,##0;@"/>
    <numFmt numFmtId="166" formatCode="#,##0.00;\-#,##0.00;#,##0.00;@"/>
    <numFmt numFmtId="167" formatCode="#,##0.000;\-#,##0.000;#,##0.000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C4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EF4"/>
        <bgColor indexed="64"/>
      </patternFill>
    </fill>
    <fill>
      <patternFill patternType="solid">
        <fgColor rgb="FFFFF8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  <fill>
      <patternFill patternType="solid">
        <fgColor rgb="FFC6C4C4"/>
        <bgColor rgb="FF000000"/>
      </patternFill>
    </fill>
    <fill>
      <patternFill patternType="solid">
        <fgColor theme="5" tint="-0.249977111117893"/>
        <bgColor theme="5" tint="-0.249977111117893"/>
      </patternFill>
    </fill>
  </fills>
  <borders count="18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/>
      <right/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/>
      <top/>
      <bottom style="medium">
        <color rgb="FFAEAEAE"/>
      </bottom>
      <diagonal/>
    </border>
    <border>
      <left/>
      <right/>
      <top style="medium">
        <color rgb="FFAEAEAE"/>
      </top>
      <bottom/>
      <diagonal/>
    </border>
    <border>
      <left/>
      <right style="medium">
        <color rgb="FFAEAEAE"/>
      </right>
      <top style="medium">
        <color rgb="FFAEAEAE"/>
      </top>
      <bottom/>
      <diagonal/>
    </border>
    <border>
      <left style="medium">
        <color rgb="FFAEAEAE"/>
      </left>
      <right/>
      <top style="medium">
        <color rgb="FFAEAEAE"/>
      </top>
      <bottom/>
      <diagonal/>
    </border>
    <border>
      <left/>
      <right/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/>
      <diagonal/>
    </border>
    <border>
      <left style="medium">
        <color rgb="FFAEAEAE"/>
      </left>
      <right style="medium">
        <color rgb="FFAEAEAE"/>
      </right>
      <top/>
      <bottom/>
      <diagonal/>
    </border>
    <border>
      <left/>
      <right/>
      <top/>
      <bottom style="thin">
        <color theme="5" tint="-0.249977111117893"/>
      </bottom>
      <diagonal/>
    </border>
    <border>
      <left/>
      <right/>
      <top style="thin">
        <color theme="5" tint="-0.249977111117893"/>
      </top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double">
        <color theme="5" tint="-0.249977111117893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49" fontId="4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5" fontId="4" fillId="3" borderId="1" xfId="0" applyNumberFormat="1" applyFont="1" applyFill="1" applyBorder="1" applyAlignment="1">
      <alignment horizontal="right" vertical="center" wrapText="1"/>
    </xf>
    <xf numFmtId="165" fontId="4" fillId="4" borderId="1" xfId="0" applyNumberFormat="1" applyFont="1" applyFill="1" applyBorder="1" applyAlignment="1">
      <alignment horizontal="right" vertical="center" wrapText="1"/>
    </xf>
    <xf numFmtId="166" fontId="4" fillId="3" borderId="1" xfId="0" applyNumberFormat="1" applyFont="1" applyFill="1" applyBorder="1" applyAlignment="1">
      <alignment horizontal="right" vertical="center" wrapText="1"/>
    </xf>
    <xf numFmtId="167" fontId="4" fillId="3" borderId="1" xfId="0" applyNumberFormat="1" applyFont="1" applyFill="1" applyBorder="1" applyAlignment="1">
      <alignment horizontal="right" vertical="center" wrapText="1"/>
    </xf>
    <xf numFmtId="166" fontId="4" fillId="4" borderId="1" xfId="0" applyNumberFormat="1" applyFont="1" applyFill="1" applyBorder="1" applyAlignment="1">
      <alignment horizontal="right" vertical="center" wrapText="1"/>
    </xf>
    <xf numFmtId="167" fontId="4" fillId="4" borderId="1" xfId="0" applyNumberFormat="1" applyFont="1" applyFill="1" applyBorder="1" applyAlignment="1">
      <alignment horizontal="right" vertical="center" wrapText="1"/>
    </xf>
    <xf numFmtId="166" fontId="4" fillId="5" borderId="1" xfId="0" applyNumberFormat="1" applyFont="1" applyFill="1" applyBorder="1" applyAlignment="1">
      <alignment horizontal="right" vertical="center" wrapText="1"/>
    </xf>
    <xf numFmtId="167" fontId="4" fillId="5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4" fillId="5" borderId="3" xfId="0" applyNumberFormat="1" applyFont="1" applyFill="1" applyBorder="1" applyAlignment="1">
      <alignment horizontal="left" vertical="center" wrapText="1"/>
    </xf>
    <xf numFmtId="49" fontId="4" fillId="2" borderId="4" xfId="0" applyNumberFormat="1" applyFont="1" applyFill="1" applyBorder="1" applyAlignment="1">
      <alignment horizontal="left" vertical="center" wrapText="1"/>
    </xf>
    <xf numFmtId="49" fontId="4" fillId="2" borderId="2" xfId="0" applyNumberFormat="1" applyFont="1" applyFill="1" applyBorder="1" applyAlignment="1">
      <alignment horizontal="left" vertical="center" wrapText="1"/>
    </xf>
    <xf numFmtId="49" fontId="4" fillId="2" borderId="3" xfId="0" applyNumberFormat="1" applyFont="1" applyFill="1" applyBorder="1" applyAlignment="1">
      <alignment horizontal="left" vertical="center" wrapText="1"/>
    </xf>
    <xf numFmtId="165" fontId="4" fillId="3" borderId="2" xfId="0" applyNumberFormat="1" applyFont="1" applyFill="1" applyBorder="1" applyAlignment="1">
      <alignment horizontal="right" vertical="center" wrapText="1"/>
    </xf>
    <xf numFmtId="165" fontId="4" fillId="4" borderId="2" xfId="0" applyNumberFormat="1" applyFont="1" applyFill="1" applyBorder="1" applyAlignment="1">
      <alignment horizontal="right" vertical="center" wrapText="1"/>
    </xf>
    <xf numFmtId="49" fontId="4" fillId="2" borderId="5" xfId="0" applyNumberFormat="1" applyFont="1" applyFill="1" applyBorder="1" applyAlignment="1">
      <alignment horizontal="left" vertical="center" wrapText="1"/>
    </xf>
    <xf numFmtId="49" fontId="4" fillId="2" borderId="6" xfId="0" applyNumberFormat="1" applyFont="1" applyFill="1" applyBorder="1" applyAlignment="1">
      <alignment horizontal="left" vertical="center" wrapText="1"/>
    </xf>
    <xf numFmtId="49" fontId="4" fillId="2" borderId="7" xfId="0" applyNumberFormat="1" applyFont="1" applyFill="1" applyBorder="1" applyAlignment="1">
      <alignment horizontal="left" vertical="center" wrapText="1"/>
    </xf>
    <xf numFmtId="49" fontId="4" fillId="2" borderId="6" xfId="0" applyNumberFormat="1" applyFont="1" applyFill="1" applyBorder="1" applyAlignment="1">
      <alignment horizontal="right" vertical="center" wrapText="1"/>
    </xf>
    <xf numFmtId="49" fontId="4" fillId="5" borderId="8" xfId="0" applyNumberFormat="1" applyFont="1" applyFill="1" applyBorder="1" applyAlignment="1">
      <alignment horizontal="left" vertical="center" wrapText="1"/>
    </xf>
    <xf numFmtId="49" fontId="4" fillId="5" borderId="9" xfId="0" applyNumberFormat="1" applyFont="1" applyFill="1" applyBorder="1" applyAlignment="1">
      <alignment horizontal="left" vertical="center" wrapText="1"/>
    </xf>
    <xf numFmtId="165" fontId="4" fillId="5" borderId="10" xfId="0" applyNumberFormat="1" applyFont="1" applyFill="1" applyBorder="1" applyAlignment="1">
      <alignment horizontal="right" vertical="center" wrapText="1"/>
    </xf>
    <xf numFmtId="49" fontId="4" fillId="2" borderId="11" xfId="0" applyNumberFormat="1" applyFont="1" applyFill="1" applyBorder="1" applyAlignment="1">
      <alignment horizontal="left" vertical="center" wrapText="1"/>
    </xf>
    <xf numFmtId="167" fontId="4" fillId="3" borderId="2" xfId="0" applyNumberFormat="1" applyFont="1" applyFill="1" applyBorder="1" applyAlignment="1">
      <alignment horizontal="right" vertical="center" wrapText="1"/>
    </xf>
    <xf numFmtId="167" fontId="4" fillId="4" borderId="2" xfId="0" applyNumberFormat="1" applyFont="1" applyFill="1" applyBorder="1" applyAlignment="1">
      <alignment horizontal="right" vertical="center" wrapText="1"/>
    </xf>
    <xf numFmtId="166" fontId="4" fillId="5" borderId="12" xfId="0" applyNumberFormat="1" applyFont="1" applyFill="1" applyBorder="1" applyAlignment="1">
      <alignment horizontal="right" vertical="center" wrapText="1"/>
    </xf>
    <xf numFmtId="165" fontId="4" fillId="5" borderId="12" xfId="0" applyNumberFormat="1" applyFont="1" applyFill="1" applyBorder="1" applyAlignment="1">
      <alignment horizontal="right" vertical="center" wrapText="1"/>
    </xf>
    <xf numFmtId="167" fontId="4" fillId="5" borderId="10" xfId="0" applyNumberFormat="1" applyFont="1" applyFill="1" applyBorder="1" applyAlignment="1">
      <alignment horizontal="right" vertical="center" wrapText="1"/>
    </xf>
    <xf numFmtId="0" fontId="5" fillId="6" borderId="0" xfId="0" applyFont="1" applyFill="1" applyAlignment="1">
      <alignment vertical="top"/>
    </xf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14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  <xf numFmtId="0" fontId="5" fillId="7" borderId="0" xfId="0" applyFont="1" applyFill="1" applyAlignment="1">
      <alignment vertical="top"/>
    </xf>
    <xf numFmtId="4" fontId="5" fillId="7" borderId="0" xfId="0" applyNumberFormat="1" applyFont="1" applyFill="1" applyAlignment="1">
      <alignment vertical="top"/>
    </xf>
    <xf numFmtId="0" fontId="4" fillId="2" borderId="1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49" fontId="4" fillId="2" borderId="13" xfId="0" applyNumberFormat="1" applyFont="1" applyFill="1" applyBorder="1" applyAlignment="1">
      <alignment horizontal="right" vertical="center" wrapText="1"/>
    </xf>
    <xf numFmtId="49" fontId="4" fillId="8" borderId="5" xfId="0" applyNumberFormat="1" applyFont="1" applyFill="1" applyBorder="1" applyAlignment="1">
      <alignment horizontal="left" vertical="center" wrapText="1"/>
    </xf>
    <xf numFmtId="49" fontId="4" fillId="8" borderId="11" xfId="0" applyNumberFormat="1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9" borderId="14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2" fillId="0" borderId="17" xfId="1" applyNumberFormat="1" applyFont="1" applyBorder="1" applyAlignment="1">
      <alignment horizontal="center"/>
    </xf>
    <xf numFmtId="10" fontId="2" fillId="0" borderId="0" xfId="1" applyNumberFormat="1" applyFont="1" applyBorder="1" applyAlignment="1">
      <alignment horizontal="center"/>
    </xf>
    <xf numFmtId="10" fontId="0" fillId="0" borderId="0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pivotButton="1" applyAlignment="1">
      <alignment horizontal="center"/>
    </xf>
  </cellXfs>
  <cellStyles count="2">
    <cellStyle name="Normal" xfId="0" builtinId="0"/>
    <cellStyle name="Porcentaje" xfId="1" builtinId="5"/>
  </cellStyles>
  <dxfs count="1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border outline="0">
        <top style="medium">
          <color rgb="FFAEAEAE"/>
        </top>
      </border>
    </dxf>
    <dxf>
      <border outline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</border>
    </dxf>
    <dxf>
      <border outline="0">
        <bottom style="medium">
          <color rgb="FFAEAEA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AEAEAE"/>
        </left>
        <right style="medium">
          <color rgb="FFAEAEA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7" formatCode="#,##0.000;\-#,##0.000;#,##0.000;@"/>
      <fill>
        <patternFill patternType="solid">
          <fgColor indexed="64"/>
          <bgColor rgb="FFFFF843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AEAEAE"/>
        </left>
        <right/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5" formatCode="#,##0;\-#,##0;#,##0;@"/>
      <fill>
        <patternFill patternType="solid">
          <fgColor indexed="64"/>
          <bgColor rgb="FFFFF843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6" formatCode="#,##0.00;\-#,##0.00;#,##0.00;@"/>
      <fill>
        <patternFill patternType="solid">
          <fgColor indexed="64"/>
          <bgColor rgb="FFFFF843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FFF843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FFF843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FFF843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FFF843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FFF843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border outline="0">
        <top style="medium">
          <color rgb="FFAEAEAE"/>
        </top>
      </border>
    </dxf>
    <dxf>
      <border outline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</border>
    </dxf>
    <dxf>
      <border outline="0">
        <bottom style="medium">
          <color rgb="FFAEAEA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AEAEAE"/>
        </left>
        <right style="medium">
          <color rgb="FFAEAEA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4" formatCode="dd\.mm\.yyyy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4" formatCode="dd\.mm\.yyyy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border outline="0">
        <left style="medium">
          <color rgb="FFAEAEAE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right" vertical="center" textRotation="0" wrapText="1" indent="0" justifyLastLine="0" shrinkToFit="0" readingOrder="0"/>
      <border diagonalUp="0" diagonalDown="0" outline="0">
        <left style="medium">
          <color rgb="FFAEAEAE"/>
        </left>
        <right style="medium">
          <color rgb="FFAEAEA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border outline="0">
        <top style="medium">
          <color rgb="FFAEAEAE"/>
        </top>
      </border>
    </dxf>
    <dxf>
      <border outline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</dxf>
    <dxf>
      <border outline="0">
        <bottom style="medium">
          <color rgb="FFAEAEA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AEAEAE"/>
        </left>
        <right style="medium">
          <color rgb="FFAEAEA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4" formatCode="dd\.mm\.yyyy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border outline="0">
        <top style="medium">
          <color rgb="FFAEAEAE"/>
        </top>
      </border>
    </dxf>
    <dxf>
      <border outline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</dxf>
    <dxf>
      <border outline="0">
        <bottom style="medium">
          <color rgb="FFAEAEA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rgb="FF000000"/>
          <bgColor rgb="FFC6C4C4"/>
        </patternFill>
      </fill>
      <alignment horizontal="left" vertical="center" textRotation="0" wrapText="1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#,##0;\-#,##0;#,##0;@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font>
        <b/>
      </font>
    </dxf>
    <dxf>
      <alignment horizontal="center"/>
    </dxf>
    <dxf>
      <alignment horizontal="general"/>
    </dxf>
    <dxf>
      <alignment wrapText="0"/>
    </dxf>
    <dxf>
      <alignment wrapText="1"/>
    </dxf>
    <dxf>
      <font>
        <b/>
      </font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wrapText="0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#,##0;\-#,##0;#,##0;@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Contreras Luna" refreshedDate="46167.417537037036" createdVersion="8" refreshedVersion="8" minRefreshableVersion="3" recordCount="3" xr:uid="{9EADB7B7-3E25-42A7-B8F5-37E529B32BD1}">
  <cacheSource type="worksheet">
    <worksheetSource ref="A1:Q4" sheet="Avisos Pendientes"/>
  </cacheSource>
  <cacheFields count="17">
    <cacheField name="Año natural/Semana" numFmtId="49">
      <sharedItems/>
    </cacheField>
    <cacheField name="Fase" numFmtId="49">
      <sharedItems/>
    </cacheField>
    <cacheField name="Proceso" numFmtId="49">
      <sharedItems count="1">
        <s v="02 SUMINISTRO ELECTRICO DCH"/>
      </sharedItems>
    </cacheField>
    <cacheField name="SubProceso" numFmtId="49">
      <sharedItems/>
    </cacheField>
    <cacheField name="Aviso" numFmtId="49">
      <sharedItems/>
    </cacheField>
    <cacheField name="Txt. Breve" numFmtId="49">
      <sharedItems/>
    </cacheField>
    <cacheField name="Clase de aviso" numFmtId="49">
      <sharedItems/>
    </cacheField>
    <cacheField name="Prioridad" numFmtId="49">
      <sharedItems/>
    </cacheField>
    <cacheField name="Status de Sistema" numFmtId="49">
      <sharedItems/>
    </cacheField>
    <cacheField name="Fecha Aviso PM" numFmtId="164">
      <sharedItems containsSemiMixedTypes="0" containsNonDate="0" containsDate="1" containsString="0" minDate="2026-05-09T00:00:00" maxDate="2026-05-11T00:00:00"/>
    </cacheField>
    <cacheField name="Gr.planif.PM" numFmtId="49">
      <sharedItems count="1">
        <s v="Pl.Dist.Energ.Elec"/>
      </sharedItems>
    </cacheField>
    <cacheField name="Gr.Planif" numFmtId="49">
      <sharedItems count="1">
        <s v="C82"/>
      </sharedItems>
    </cacheField>
    <cacheField name="Orden mantenimiento" numFmtId="49">
      <sharedItems/>
    </cacheField>
    <cacheField name="Columna3" numFmtId="49">
      <sharedItems/>
    </cacheField>
    <cacheField name="Puesto de trabajo" numFmtId="49">
      <sharedItems/>
    </cacheField>
    <cacheField name="Pto. Trabajo" numFmtId="49">
      <sharedItems/>
    </cacheField>
    <cacheField name="Número de avisos pendientes" numFmtId="165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Contreras Luna" refreshedDate="46167.4177025463" createdVersion="8" refreshedVersion="8" minRefreshableVersion="3" recordCount="54" xr:uid="{74B54D93-50D2-42DE-BB66-B8D738EA128E}">
  <cacheSource type="worksheet">
    <worksheetSource ref="A1:O55" sheet="Órdenes Pendientes"/>
  </cacheSource>
  <cacheFields count="15">
    <cacheField name="Gr.planif.PM" numFmtId="49">
      <sharedItems count="5">
        <s v="Pl.Termoelec.Chuq."/>
        <s v="Pl.Tall.Electr.Cen"/>
        <s v="Pl.Maestranza.Cent"/>
        <s v="Pl.Dist.Energ.Elec"/>
        <s v="Pl.Calderería.Cent"/>
      </sharedItems>
    </cacheField>
    <cacheField name="Gr. Planif" numFmtId="49">
      <sharedItems count="5">
        <s v="C81"/>
        <s v="C84"/>
        <s v="C71"/>
        <s v="C82"/>
        <s v="C72"/>
      </sharedItems>
    </cacheField>
    <cacheField name="Fase" numFmtId="49">
      <sharedItems/>
    </cacheField>
    <cacheField name="Proceso" numFmtId="49">
      <sharedItems count="4">
        <s v="03 PLANTAS DE SUMINISTROS DCH"/>
        <s v="01 INFRAESTRUC CONC DCH"/>
        <s v="99 ESENCIALES INFRA. SERV. DCH"/>
        <s v="02 SUMINISTRO ELECTRICO DCH"/>
      </sharedItems>
    </cacheField>
    <cacheField name="Sub-Proceso" numFmtId="49">
      <sharedItems/>
    </cacheField>
    <cacheField name="Orden mantenimiento" numFmtId="49">
      <sharedItems/>
    </cacheField>
    <cacheField name="Txt. Breve" numFmtId="49">
      <sharedItems/>
    </cacheField>
    <cacheField name="Status de Sistema" numFmtId="49">
      <sharedItems/>
    </cacheField>
    <cacheField name="Clase de orden" numFmtId="49">
      <sharedItems/>
    </cacheField>
    <cacheField name="Clase actividad PM" numFmtId="49">
      <sharedItems/>
    </cacheField>
    <cacheField name="Actividad PM" numFmtId="49">
      <sharedItems/>
    </cacheField>
    <cacheField name="Año natural/Semana" numFmtId="49">
      <sharedItems/>
    </cacheField>
    <cacheField name="Pto. Trabajo" numFmtId="49">
      <sharedItems/>
    </cacheField>
    <cacheField name="Puesto de trabajo" numFmtId="49">
      <sharedItems/>
    </cacheField>
    <cacheField name="Número de OT Pendientes" numFmtId="165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Contreras Luna" refreshedDate="46167.417972569441" createdVersion="8" refreshedVersion="8" minRefreshableVersion="3" recordCount="96" xr:uid="{A3B5B172-9D33-4FF2-9474-1050701E938A}">
  <cacheSource type="worksheet">
    <worksheetSource ref="A1:V97" sheet="% Trabajo Planificado"/>
  </cacheSource>
  <cacheFields count="23">
    <cacheField name="Año natural/Semana" numFmtId="49">
      <sharedItems/>
    </cacheField>
    <cacheField name="Fase" numFmtId="49">
      <sharedItems/>
    </cacheField>
    <cacheField name="Proceso" numFmtId="49">
      <sharedItems count="3">
        <s v="02 SUMINISTRO ELECTRICO DCH"/>
        <s v="03 PLANTAS DE SUMINISTROS DCH"/>
        <s v="99 ESENCIALES INFRA. SERV. DCH"/>
      </sharedItems>
    </cacheField>
    <cacheField name="SubProceso" numFmtId="49">
      <sharedItems/>
    </cacheField>
    <cacheField name="Puesto de trabajo" numFmtId="49">
      <sharedItems/>
    </cacheField>
    <cacheField name="Psto. Trabaj" numFmtId="49">
      <sharedItems/>
    </cacheField>
    <cacheField name="Clase actividad PM" numFmtId="49">
      <sharedItems/>
    </cacheField>
    <cacheField name="Actividad PM" numFmtId="49">
      <sharedItems/>
    </cacheField>
    <cacheField name="Gr. planif" numFmtId="0">
      <sharedItems count="2">
        <s v="C82"/>
        <s v="C81"/>
      </sharedItems>
    </cacheField>
    <cacheField name="Gr. planif.PM" numFmtId="0">
      <sharedItems count="2">
        <s v="Pl.Dist.Energ.Elec"/>
        <s v="Pl.Termoelec.Chuq."/>
      </sharedItems>
    </cacheField>
    <cacheField name="Orden mantenimiento" numFmtId="49">
      <sharedItems/>
    </cacheField>
    <cacheField name="Txt. Breve" numFmtId="49">
      <sharedItems/>
    </cacheField>
    <cacheField name="Status de Sistema" numFmtId="49">
      <sharedItems/>
    </cacheField>
    <cacheField name="Clase de orden" numFmtId="49">
      <sharedItems/>
    </cacheField>
    <cacheField name="Horizonte" numFmtId="0">
      <sharedItems containsSemiMixedTypes="0" containsString="0" containsNumber="1" containsInteger="1" minValue="-1" maxValue="480"/>
    </cacheField>
    <cacheField name="Fecha Libera Orden" numFmtId="164">
      <sharedItems containsSemiMixedTypes="0" containsNonDate="0" containsDate="1" containsString="0" minDate="2025-01-23T00:00:00" maxDate="2026-05-25T00:00:00"/>
    </cacheField>
    <cacheField name="Fecha inicio real" numFmtId="164">
      <sharedItems containsSemiMixedTypes="0" containsNonDate="0" containsDate="1" containsString="0" minDate="2026-05-18T00:00:00" maxDate="2026-05-25T00:00:00"/>
    </cacheField>
    <cacheField name="Grupo hojas de ruta" numFmtId="49">
      <sharedItems/>
    </cacheField>
    <cacheField name="% Planificado (HH)" numFmtId="0">
      <sharedItems containsString="0" containsBlank="1" containsNumber="1" containsInteger="1" minValue="100" maxValue="100"/>
    </cacheField>
    <cacheField name="HH Plan. Reales" numFmtId="0">
      <sharedItems containsString="0" containsBlank="1" containsNumber="1" minValue="1" maxValue="60"/>
    </cacheField>
    <cacheField name="HH Totales Reales" numFmtId="167">
      <sharedItems containsSemiMixedTypes="0" containsString="0" containsNumber="1" minValue="0.2" maxValue="60"/>
    </cacheField>
    <cacheField name="Criterio" numFmtId="0">
      <sharedItems count="2">
        <s v="Planificado"/>
        <s v="Imprevisto"/>
      </sharedItems>
    </cacheField>
    <cacheField name="%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Contreras Luna" refreshedDate="46167.418575347219" createdVersion="8" refreshedVersion="8" minRefreshableVersion="3" recordCount="29" xr:uid="{E3F98C1A-C18F-4F75-A118-959AD991858E}">
  <cacheSource type="worksheet">
    <worksheetSource ref="A1:T30" sheet="Plan Matriz"/>
  </cacheSource>
  <cacheFields count="20">
    <cacheField name="Año natural/Semana" numFmtId="49">
      <sharedItems/>
    </cacheField>
    <cacheField name="Fase" numFmtId="49">
      <sharedItems/>
    </cacheField>
    <cacheField name="Proceso" numFmtId="49">
      <sharedItems count="3">
        <s v="02 SUMINISTRO ELECTRICO DCH"/>
        <s v="03 PLANTAS DE SUMINISTROS DCH"/>
        <s v="99 ESENCIALES INFRA. SERV. DCH"/>
      </sharedItems>
    </cacheField>
    <cacheField name="SubProceso" numFmtId="49">
      <sharedItems/>
    </cacheField>
    <cacheField name="Gr.planif.PM" numFmtId="49">
      <sharedItems count="3">
        <s v="Pl.Dist.Energ.Elec"/>
        <s v="Pl.Termoelec.Chuq."/>
        <s v="Pl.Maestranza.Cent"/>
      </sharedItems>
    </cacheField>
    <cacheField name="Gr.planif" numFmtId="49">
      <sharedItems count="3">
        <s v="C82"/>
        <s v="C81"/>
        <s v="C71"/>
      </sharedItems>
    </cacheField>
    <cacheField name="Clase actividad PM" numFmtId="49">
      <sharedItems/>
    </cacheField>
    <cacheField name="Actividad PM" numFmtId="49">
      <sharedItems/>
    </cacheField>
    <cacheField name="Orden mantenimiento" numFmtId="49">
      <sharedItems/>
    </cacheField>
    <cacheField name="Txt. Breve" numFmtId="49">
      <sharedItems/>
    </cacheField>
    <cacheField name="Status de Sistema" numFmtId="49">
      <sharedItems/>
    </cacheField>
    <cacheField name="Clase de orden" numFmtId="49">
      <sharedItems/>
    </cacheField>
    <cacheField name="Puesto de trabajo" numFmtId="49">
      <sharedItems/>
    </cacheField>
    <cacheField name="Psto. Trabajo" numFmtId="49">
      <sharedItems/>
    </cacheField>
    <cacheField name="% Cumpl. Plan Matriz" numFmtId="166">
      <sharedItems containsSemiMixedTypes="0" containsString="0" containsNumber="1" containsInteger="1" minValue="0" maxValue="100"/>
    </cacheField>
    <cacheField name="Plan Matriz" numFmtId="166">
      <sharedItems containsSemiMixedTypes="0" containsString="0" containsNumber="1" containsInteger="1" minValue="0" maxValue="1"/>
    </cacheField>
    <cacheField name="Coeficiente PMA" numFmtId="166">
      <sharedItems containsSemiMixedTypes="0" containsString="0" containsNumber="1" containsInteger="1" minValue="1" maxValue="1"/>
    </cacheField>
    <cacheField name="Cantidad de Operaciones Ejecutadas" numFmtId="165">
      <sharedItems containsSemiMixedTypes="0" containsString="0" containsNumber="1" containsInteger="1" minValue="0" maxValue="25"/>
    </cacheField>
    <cacheField name="Cantidad de Operaciones totales" numFmtId="165">
      <sharedItems containsSemiMixedTypes="0" containsString="0" containsNumber="1" containsInteger="1" minValue="1" maxValue="25"/>
    </cacheField>
    <cacheField name="Criterio" numFmtId="0">
      <sharedItems count="2">
        <s v="Cumple"/>
        <s v="No Cump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Contreras Luna" refreshedDate="46167.422812268516" createdVersion="8" refreshedVersion="8" minRefreshableVersion="3" recordCount="76" xr:uid="{5C737444-7578-4B24-93DE-0599159B45F4}">
  <cacheSource type="worksheet">
    <worksheetSource ref="A1:R77" sheet="Programa Semanal"/>
  </cacheSource>
  <cacheFields count="18">
    <cacheField name="Gr.planif.PM" numFmtId="49">
      <sharedItems count="2">
        <s v="Pl.Dist.Energ.Elec"/>
        <s v="Pl.Termoelec.Chuq."/>
      </sharedItems>
    </cacheField>
    <cacheField name="Gr.planif" numFmtId="49">
      <sharedItems count="2">
        <s v="C82"/>
        <s v="C81"/>
      </sharedItems>
    </cacheField>
    <cacheField name="S Agr Fec Ini + Temp" numFmtId="49">
      <sharedItems/>
    </cacheField>
    <cacheField name="Fase" numFmtId="49">
      <sharedItems/>
    </cacheField>
    <cacheField name="Proceso" numFmtId="49">
      <sharedItems count="3">
        <s v="02 SUMINISTRO ELECTRICO DCH"/>
        <s v="99 ESENCIALES INFRA. SERV. DCH"/>
        <s v="03 PLANTAS DE SUMINISTROS DCH"/>
      </sharedItems>
    </cacheField>
    <cacheField name="SubProceso" numFmtId="49">
      <sharedItems/>
    </cacheField>
    <cacheField name="Puesto de trabajo" numFmtId="49">
      <sharedItems/>
    </cacheField>
    <cacheField name="Psto. Trabaj" numFmtId="49">
      <sharedItems/>
    </cacheField>
    <cacheField name="Clase actividad PM" numFmtId="49">
      <sharedItems/>
    </cacheField>
    <cacheField name="Actividad PM" numFmtId="49">
      <sharedItems/>
    </cacheField>
    <cacheField name="Orden mantenimiento" numFmtId="49">
      <sharedItems/>
    </cacheField>
    <cacheField name="Txt. Breve" numFmtId="49">
      <sharedItems/>
    </cacheField>
    <cacheField name="Clase de orden" numFmtId="49">
      <sharedItems/>
    </cacheField>
    <cacheField name="Status de Sistema" numFmtId="49">
      <sharedItems/>
    </cacheField>
    <cacheField name="Cumplimiento Prog. Semanal (Op)" numFmtId="166">
      <sharedItems containsSemiMixedTypes="0" containsString="0" containsNumber="1" containsInteger="1" minValue="0" maxValue="100"/>
    </cacheField>
    <cacheField name="Indicador cumple sem" numFmtId="165">
      <sharedItems containsSemiMixedTypes="0" containsString="0" containsNumber="1" containsInteger="1" minValue="0" maxValue="25"/>
    </cacheField>
    <cacheField name="Total Op. Programadas" numFmtId="167">
      <sharedItems containsSemiMixedTypes="0" containsString="0" containsNumber="1" containsInteger="1" minValue="1" maxValue="25"/>
    </cacheField>
    <cacheField name="Criterio" numFmtId="0">
      <sharedItems count="2">
        <s v="Cumple"/>
        <s v="No Cump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19.2026"/>
    <s v="08 INFR SERVIC Y SUMIN DCH"/>
    <x v="0"/>
    <s v="CHSS-SE"/>
    <s v="30035659"/>
    <s v="Revision de Baterias Grupo Gen Tchitack"/>
    <s v="M1"/>
    <s v="3"/>
    <s v="DOCU MEAB"/>
    <d v="2026-05-09T00:00:00"/>
    <x v="0"/>
    <x v="0"/>
    <s v="#"/>
    <s v="Sin asignar"/>
    <s v="MANT. INT SUMINISTRO ELECTRICO"/>
    <s v="CGSMPE03"/>
    <n v="1"/>
  </r>
  <r>
    <s v="19.2026"/>
    <s v="08 INFR SERVIC Y SUMIN DCH"/>
    <x v="0"/>
    <s v="CHSS-SE"/>
    <s v="30035777"/>
    <s v="Mtto G. Generador Tchitack"/>
    <s v="M1"/>
    <s v="3"/>
    <s v="DOCU MEAB"/>
    <d v="2026-05-09T00:00:00"/>
    <x v="0"/>
    <x v="0"/>
    <s v="#"/>
    <s v="Sin asignar"/>
    <s v="MANT. INT SUMINISTRO ELECTRICO"/>
    <s v="CGSMPE03"/>
    <n v="1"/>
  </r>
  <r>
    <s v="19.2026"/>
    <s v="08 INFR SERVIC Y SUMIN DCH"/>
    <x v="0"/>
    <s v="CHSS-SE"/>
    <s v="30037668"/>
    <s v="EJE. BAJO NIVEL CONSERVADOR CDBC ATR 2"/>
    <s v="M1"/>
    <s v="3"/>
    <s v="DOCU MEAB"/>
    <d v="2026-05-10T00:00:00"/>
    <x v="0"/>
    <x v="0"/>
    <s v="#"/>
    <s v="Sin asignar"/>
    <s v="MANT &amp; PLANIF SUMINISTRO ELECTRICO"/>
    <s v="CGSSERME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s v="08 INFR SERVIC Y SUMIN DCH"/>
    <x v="0"/>
    <s v="CHSS-SU"/>
    <s v="109423166"/>
    <s v="Alimentación cal desde silo 3/correa 129"/>
    <s v="LIB. IMOP MACO MOVM PREC TRAT"/>
    <s v="PL"/>
    <s v="Correctivo Planificado"/>
    <s v="025"/>
    <s v="18.2026"/>
    <s v="MANT &amp; PLANIF CENTRAL TERMICA SULFUROS"/>
    <s v="CGSTMRMM"/>
    <n v="1"/>
  </r>
  <r>
    <x v="0"/>
    <x v="0"/>
    <s v="08 INFR SERVIC Y SUMIN DCH"/>
    <x v="0"/>
    <s v="CHSS-SU"/>
    <s v="109501785"/>
    <s v="CAMBIO BBA 1B - FILTRACION SELLOS"/>
    <s v="LIB. NOTP DOCU IMOP MACO PREC PROG TRAT"/>
    <s v="PL"/>
    <s v="Correctivo Planificado"/>
    <s v="025"/>
    <s v="16.2026"/>
    <s v="MANT &amp; PLANIF CENTRAL TERMICA SULFUROS"/>
    <s v="CGSTMRMM"/>
    <n v="1"/>
  </r>
  <r>
    <x v="0"/>
    <x v="0"/>
    <s v="08 INFR SERVIC Y SUMIN DCH"/>
    <x v="0"/>
    <s v="CHSS-SU"/>
    <s v="109613092"/>
    <s v="Cambio controlador y válvula de admisión"/>
    <s v="LIB. IMOP MACO MOVM PREC TRAT"/>
    <s v="PL"/>
    <s v="Correctivo Planificado"/>
    <s v="025"/>
    <s v="18.2026"/>
    <s v="MANT &amp; PLANIF CENTRAL TERMICA SULFUROS"/>
    <s v="CGSTMRMM"/>
    <n v="1"/>
  </r>
  <r>
    <x v="0"/>
    <x v="0"/>
    <s v="08 INFR SERVIC Y SUMIN DCH"/>
    <x v="0"/>
    <s v="CHSS-SU"/>
    <s v="109613336"/>
    <s v="Cambio controlador y válvula de admisión"/>
    <s v="LIB. IMOP MACO MOVM PREC TRAT"/>
    <s v="PL"/>
    <s v="Correctivo Planificado"/>
    <s v="025"/>
    <s v="18.2026"/>
    <s v="MANT &amp; PLANIF CENTRAL TERMICA SULFUROS"/>
    <s v="CGSTMRMM"/>
    <n v="1"/>
  </r>
  <r>
    <x v="0"/>
    <x v="0"/>
    <s v="08 INFR SERVIC Y SUMIN DCH"/>
    <x v="0"/>
    <s v="CHSS-SU"/>
    <s v="109613341"/>
    <s v="COMP22 Cbio controlador MK5 válvula admi"/>
    <s v="LIB. IMOP MACO MOVM PREC TRAT"/>
    <s v="PL"/>
    <s v="Correctivo Planificado"/>
    <s v="025"/>
    <s v="18.2026"/>
    <s v="MANT &amp; PLANIF CENTRAL TERMICA SULFUROS"/>
    <s v="CGSTMRMM"/>
    <n v="1"/>
  </r>
  <r>
    <x v="0"/>
    <x v="0"/>
    <s v="08 INFR SERVIC Y SUMIN DCH"/>
    <x v="0"/>
    <s v="CHSS-SU"/>
    <s v="109654371"/>
    <s v="FUCO26 Cambio Tubo nivel Des Caldera 3"/>
    <s v="LIB. NOTI DOCU IMOP JBFI MACO MOVM PREC*"/>
    <s v="PL"/>
    <s v="Correctivo Planificado"/>
    <s v="025"/>
    <s v="17.2026"/>
    <s v="MANT &amp; PLANIF CENTRAL TERMICA SULFUROS"/>
    <s v="CGSTMRMM"/>
    <n v="1"/>
  </r>
  <r>
    <x v="0"/>
    <x v="0"/>
    <s v="08 INFR SERVIC Y SUMIN DCH"/>
    <x v="0"/>
    <s v="CHSS-SU"/>
    <s v="109882735"/>
    <s v="FLOTADOR EN MAL ESTADO SOPLADOR 8"/>
    <s v="ABIE IMOP KKMP PREC ENET"/>
    <s v="PL"/>
    <s v="Correctivo Planificado"/>
    <s v="025"/>
    <s v="09.2026"/>
    <s v="MANT &amp; PLANIF CENTRAL TERMICA SULFUROS"/>
    <s v="CGSTMRMM"/>
    <n v="1"/>
  </r>
  <r>
    <x v="0"/>
    <x v="0"/>
    <s v="08 INFR SERVIC Y SUMIN DCH"/>
    <x v="0"/>
    <s v="CHSS-SU"/>
    <s v="110005388"/>
    <s v="R-COMP 16 PORTA FILTRO AGUA DESGASTE"/>
    <s v="LIB. IMOP MACO MOVM PREC TRAT"/>
    <s v="PL"/>
    <s v="Correctivo Planificado"/>
    <s v="025"/>
    <s v="19.2026"/>
    <s v="MANT &amp; PLANIF CENTRAL TERMICA SULFUROS"/>
    <s v="CGSTMRMM"/>
    <n v="1"/>
  </r>
  <r>
    <x v="0"/>
    <x v="0"/>
    <s v="08 INFR SERVIC Y SUMIN DCH"/>
    <x v="0"/>
    <s v="CHSS-SU"/>
    <s v="110011685"/>
    <s v="CTR FILTROS DE CARTUCHOS SATURADOS-MALOS"/>
    <s v="LIB. IMOP MACO MOVM PREC PROG TRAT"/>
    <s v="PL"/>
    <s v="Correctivo Planificado"/>
    <s v="025"/>
    <s v="11.2026"/>
    <s v="MANT &amp; PLANIF CENTRAL TERMICA SULFUROS"/>
    <s v="CGSTMRMM"/>
    <n v="1"/>
  </r>
  <r>
    <x v="0"/>
    <x v="0"/>
    <s v="08 INFR SERVIC Y SUMIN DCH"/>
    <x v="0"/>
    <s v="CHSS-SU"/>
    <s v="110265635"/>
    <s v="R-Cambio caseta portafiltros comp 25"/>
    <s v="LIB. FMAT IMOP PREC TRAT"/>
    <s v="PL"/>
    <s v="Correctivo Planificado"/>
    <s v="025"/>
    <s v="19.2026"/>
    <s v="MANT &amp; PLANIF CENTRAL TERMICA SULFUROS"/>
    <s v="CGSTMRMM"/>
    <n v="1"/>
  </r>
  <r>
    <x v="1"/>
    <x v="1"/>
    <s v="08 INFR SERVIC Y SUMIN DCH"/>
    <x v="1"/>
    <s v="#"/>
    <s v="109565393"/>
    <s v=" reparación Motor CT3 F3 22-319 TEC"/>
    <s v="LIB. FMAT IMOP MOVM PREC TRAT"/>
    <s v="ST"/>
    <s v="Reparación"/>
    <s v="060"/>
    <s v="19.2026"/>
    <s v="MANT &amp; PLANIF. TALLER ELECTRICO CENTRAL"/>
    <s v="CGSSERTE"/>
    <n v="1"/>
  </r>
  <r>
    <x v="1"/>
    <x v="1"/>
    <s v="08 INFR SERVIC Y SUMIN DCH"/>
    <x v="1"/>
    <s v="#"/>
    <s v="109797748"/>
    <s v="MOTOR 355HP2300V105,4AMP1490RPM TEC S/T"/>
    <s v="ABIE FENA IMOP KKMP PREC ENET"/>
    <s v="ST"/>
    <s v="Reparación"/>
    <s v="060"/>
    <s v="18.2026"/>
    <s v="MANT &amp; PLANIF. TALLER ELECTRICO CENTRAL"/>
    <s v="CGSSERTE"/>
    <n v="1"/>
  </r>
  <r>
    <x v="1"/>
    <x v="1"/>
    <s v="08 INFR SERVIC Y SUMIN DCH"/>
    <x v="1"/>
    <s v="#"/>
    <s v="109797840"/>
    <s v="MOTOR DAÑADO 400HP TEC 22-4609"/>
    <s v="ABIE FENA IMOP KKMP PREC ENET"/>
    <s v="ST"/>
    <s v="Reparación"/>
    <s v="060"/>
    <s v="18.2026"/>
    <s v="MANT &amp; PLANIF. TALLER ELECTRICO CENTRAL"/>
    <s v="CGSSERTE"/>
    <n v="1"/>
  </r>
  <r>
    <x v="1"/>
    <x v="1"/>
    <s v="08 INFR SERVIC Y SUMIN DCH"/>
    <x v="1"/>
    <s v="#"/>
    <s v="109820042"/>
    <s v="Reparacion de motor 22-7022 TER"/>
    <s v="ABIE FENA IMOP KKMP PREC ENET"/>
    <s v="ST"/>
    <s v="Reparación"/>
    <s v="060"/>
    <s v="18.2026"/>
    <s v="MANT &amp; PLANIF. TALLER ELECTRICO CENTRAL"/>
    <s v="CGSSERTE"/>
    <n v="1"/>
  </r>
  <r>
    <x v="1"/>
    <x v="1"/>
    <s v="08 INFR SERVIC Y SUMIN DCH"/>
    <x v="1"/>
    <s v="#"/>
    <s v="109820055"/>
    <s v="MOTOR 22-7023"/>
    <s v="ABIE FENA IMOP KKMP PREC ENET"/>
    <s v="ST"/>
    <s v="Reparación"/>
    <s v="060"/>
    <s v="18.2026"/>
    <s v="MANT &amp; PLANIF. TALLER ELECTRICO CENTRAL"/>
    <s v="CGSSERTE"/>
    <n v="1"/>
  </r>
  <r>
    <x v="1"/>
    <x v="1"/>
    <s v="08 INFR SERVIC Y SUMIN DCH"/>
    <x v="1"/>
    <s v="#"/>
    <s v="109822833"/>
    <s v=" motor grúa de bombas 22-7024 TERCERO"/>
    <s v="ABIE IMOP KKMP PREC ENET"/>
    <s v="ST"/>
    <s v="Reparación"/>
    <s v="060"/>
    <s v="18.2026"/>
    <s v="MANT &amp; PLANIF. TALLER ELECTRICO CENTRAL"/>
    <s v="CGSSERTE"/>
    <n v="1"/>
  </r>
  <r>
    <x v="1"/>
    <x v="1"/>
    <s v="08 INFR SERVIC Y SUMIN DCH"/>
    <x v="1"/>
    <s v="#"/>
    <s v="109849687"/>
    <s v="22-5386 200HP 4000V 595RPM FLA"/>
    <s v="LIB. IMOP KKMP MOVM PREC TRAT"/>
    <s v="ST"/>
    <s v="Reparación"/>
    <s v="060"/>
    <s v="18.2026"/>
    <s v="MANT &amp; PLANIF. TALLER ELECTRICO CENTRAL"/>
    <s v="CGSSERTE"/>
    <n v="1"/>
  </r>
  <r>
    <x v="1"/>
    <x v="1"/>
    <s v="08 INFR SERVIC Y SUMIN DCH"/>
    <x v="1"/>
    <s v="#"/>
    <s v="109893249"/>
    <s v="22-6427 400HP 4160V 65AMP 495RPM FLA"/>
    <s v="LIB. IMOP KKMP MOVM PREC TRAT"/>
    <s v="ST"/>
    <s v="Reparación"/>
    <s v="060"/>
    <s v="18.2026"/>
    <s v="MANT &amp; PLANIF. TALLER ELECTRICO CENTRAL"/>
    <s v="CGSSERTE"/>
    <n v="1"/>
  </r>
  <r>
    <x v="1"/>
    <x v="1"/>
    <s v="08 INFR SERVIC Y SUMIN DCH"/>
    <x v="1"/>
    <s v="#"/>
    <s v="109927011"/>
    <s v="Mantención Motor CT 142 22-"/>
    <s v="ABIE FENA IMOP KKMP PREC ENET"/>
    <s v="ST"/>
    <s v="Reparación"/>
    <s v="060"/>
    <s v="18.2026"/>
    <s v="MANT &amp; PLANIF. TALLER ELECTRICO CENTRAL"/>
    <s v="CGSSERTE"/>
    <n v="1"/>
  </r>
  <r>
    <x v="1"/>
    <x v="1"/>
    <s v="08 INFR SERVIC Y SUMIN DCH"/>
    <x v="1"/>
    <s v="#"/>
    <s v="110032324"/>
    <s v="22-5914 250HP 460V 1485RPM FLO ENTREGADO"/>
    <s v="LIB. CEsC EDET IMOP KKMP MOVM PREC TRAT"/>
    <s v="ST"/>
    <s v="Reparación"/>
    <s v="060"/>
    <s v="18.2026"/>
    <s v="MANT &amp; PLANIF. TALLER ELECTRICO CENTRAL"/>
    <s v="CGSSERTE"/>
    <n v="1"/>
  </r>
  <r>
    <x v="1"/>
    <x v="1"/>
    <s v="08 INFR SERVIC Y SUMIN DCH"/>
    <x v="1"/>
    <s v="#"/>
    <s v="110032325"/>
    <s v="22-6142 250HP 460V 1486RPM FLO ENTREGADO"/>
    <s v="LIB. IMOP KKMP MOVM PREC TRAT"/>
    <s v="ST"/>
    <s v="Reparación"/>
    <s v="060"/>
    <s v="18.2026"/>
    <s v="MANT &amp; PLANIF. TALLER ELECTRICO CENTRAL"/>
    <s v="CGSSERTE"/>
    <n v="1"/>
  </r>
  <r>
    <x v="1"/>
    <x v="1"/>
    <s v="08 INFR SERVIC Y SUMIN DCH"/>
    <x v="1"/>
    <s v="#"/>
    <s v="110054611"/>
    <s v="22-6846 250HP 460V 1485RPM FLO N/CERRAR"/>
    <s v="LIB. IMOP KKMP MOVM PREC TRAT"/>
    <s v="ST"/>
    <s v="Reparación"/>
    <s v="060"/>
    <s v="18.2026"/>
    <s v="MANT &amp; PLANIF. TALLER ELECTRICO CENTRAL"/>
    <s v="CGSSERTE"/>
    <n v="1"/>
  </r>
  <r>
    <x v="1"/>
    <x v="1"/>
    <s v="08 INFR SERVIC Y SUMIN DCH"/>
    <x v="1"/>
    <s v="#"/>
    <s v="110419998"/>
    <s v="22-7040 150HP 480V 163AMP 1484RPM TEC"/>
    <s v="ABIE FENA IMOP KKMP PREC ENET"/>
    <s v="ST"/>
    <s v="Reparación"/>
    <s v="060"/>
    <s v="19.2026"/>
    <s v="MANT &amp; PLANIF. TALLER ELECTRICO CENTRAL"/>
    <s v="CGSSERTE"/>
    <n v="1"/>
  </r>
  <r>
    <x v="1"/>
    <x v="1"/>
    <s v="08 INFR SERVIC Y SUMIN DCH"/>
    <x v="1"/>
    <s v="#"/>
    <s v="110420001"/>
    <s v="22-7039 75KW 460V 116AMP 1486RPM TEC"/>
    <s v="ABIE FENA IMOP KKMP PREC ENET"/>
    <s v="ST"/>
    <s v="Reparación"/>
    <s v="060"/>
    <s v="19.2026"/>
    <s v="MANT &amp; PLANIF. TALLER ELECTRICO CENTRAL"/>
    <s v="CGSSERTE"/>
    <n v="1"/>
  </r>
  <r>
    <x v="2"/>
    <x v="2"/>
    <s v="08 INFR SERVIC Y SUMIN DCH"/>
    <x v="1"/>
    <s v="#"/>
    <s v="110150639"/>
    <s v="Rectificar placa base piñón BM"/>
    <s v="LIB. IMOP KKMP PREC TRAT"/>
    <s v="ST"/>
    <s v="Reparación"/>
    <s v="060"/>
    <s v="17.2026"/>
    <s v="SERVICIO INTERNO MAESTRANZA"/>
    <s v="CGSSTM02"/>
    <n v="1"/>
  </r>
  <r>
    <x v="2"/>
    <x v="2"/>
    <s v="08 INFR SERVIC Y SUMIN DCH"/>
    <x v="1"/>
    <s v="#"/>
    <s v="110304391"/>
    <s v="perforar pillow block piñón mobos 18"/>
    <s v="LIB. IMOP KKMP PREC TRAT"/>
    <s v="ST"/>
    <s v="Modificación"/>
    <s v="050"/>
    <s v="17.2026"/>
    <s v="SERVICIO INTERNO MAESTRANZA"/>
    <s v="CGSSTM02"/>
    <n v="1"/>
  </r>
  <r>
    <x v="2"/>
    <x v="2"/>
    <s v="08 INFR SERVIC Y SUMIN DCH"/>
    <x v="1"/>
    <s v="#"/>
    <s v="110304394"/>
    <s v="rebajar base pillow block piñón sag-18"/>
    <s v="LIB. IMOP KKMP PREC TRAT"/>
    <s v="ST"/>
    <s v="Modificación"/>
    <s v="050"/>
    <s v="17.2026"/>
    <s v="SERVICIO INTERNO MAESTRANZA"/>
    <s v="CGSSTM02"/>
    <n v="1"/>
  </r>
  <r>
    <x v="2"/>
    <x v="2"/>
    <s v="08 INFR SERVIC Y SUMIN DCH"/>
    <x v="1"/>
    <s v="#"/>
    <s v="110304611"/>
    <s v="ensamblado de rueda tripeer"/>
    <s v="LIB. IMOP KKMP PREC TRAT"/>
    <s v="ST"/>
    <s v="Reparación"/>
    <s v="060"/>
    <s v="17.2026"/>
    <s v="SERVICIO INTERNO MAESTRANZA"/>
    <s v="CGSSTM02"/>
    <n v="1"/>
  </r>
  <r>
    <x v="2"/>
    <x v="2"/>
    <s v="08 INFR SERVIC Y SUMIN DCH"/>
    <x v="1"/>
    <s v="#"/>
    <s v="110394406"/>
    <s v="Rectificar descansos BM-serie 24(Nuevo)"/>
    <s v="LIB. NOTP FENA IMOP KKMP PREC PROG TRAT"/>
    <s v="ST"/>
    <s v="Reparación"/>
    <s v="060"/>
    <s v="19.2026"/>
    <s v="SERVICIO INTERNO MAESTRANZA"/>
    <s v="CGSSTM02"/>
    <n v="1"/>
  </r>
  <r>
    <x v="2"/>
    <x v="2"/>
    <s v="08 INFR SERVIC Y SUMIN DCH"/>
    <x v="1"/>
    <s v="#"/>
    <s v="110394408"/>
    <s v="Cbio. bronce aliment/descarg. BM serie 5"/>
    <s v="LIB. NOTP FENA IMOP KKMP PREC TRAT"/>
    <s v="ST"/>
    <s v="Reparación"/>
    <s v="060"/>
    <s v="19.2026"/>
    <s v="SERVICIO INTERNO MAESTRANZA"/>
    <s v="CGSSTM02"/>
    <n v="1"/>
  </r>
  <r>
    <x v="2"/>
    <x v="2"/>
    <s v="08 INFR SERVIC Y SUMIN DCH"/>
    <x v="1"/>
    <s v="#"/>
    <s v="110394411"/>
    <s v="Montar acoplamiento BN300"/>
    <s v="LIB. FENA IMOP KKMP PREC TRAT"/>
    <s v="ST"/>
    <s v="Reparación"/>
    <s v="060"/>
    <s v="19.2026"/>
    <s v="SERVICIO INTERNO MAESTRANZA"/>
    <s v="CGSSTM02"/>
    <n v="1"/>
  </r>
  <r>
    <x v="2"/>
    <x v="2"/>
    <s v="08 INFR SERVIC Y SUMIN DCH"/>
    <x v="1"/>
    <s v="#"/>
    <s v="110488917"/>
    <s v="Montar Machón motor ABB Chacador Terc. 1"/>
    <s v="LIB. IMOP KKMP PREC TRAT"/>
    <s v="ST"/>
    <s v="Reparación"/>
    <s v="060"/>
    <s v="18.2026"/>
    <s v="SERVICIO INTERNO MAESTRANZA"/>
    <s v="CGSSTM02"/>
    <n v="1"/>
  </r>
  <r>
    <x v="2"/>
    <x v="2"/>
    <s v="08 INFR SERVIC Y SUMIN DCH"/>
    <x v="2"/>
    <s v="02 GRUAS INFRA DCH"/>
    <s v="110379900"/>
    <s v="MRT 4S MEC MTTO PUENTE GRUA"/>
    <s v="LIB. NOTI IMOP JBFI KKMP PREC PROG TBTR"/>
    <s v="PL"/>
    <s v="Preventivo Sistemático"/>
    <s v="010"/>
    <s v="18.2026"/>
    <s v="SERVICIO INTERNO MAESTRANZA"/>
    <s v="CGSSTM02"/>
    <n v="1"/>
  </r>
  <r>
    <x v="2"/>
    <x v="2"/>
    <s v="08 INFR SERVIC Y SUMIN DCH"/>
    <x v="2"/>
    <s v="02 GRUAS INFRA DCH"/>
    <s v="110418335"/>
    <s v="MRT 4S MEC MTTO PUENTE GRUA"/>
    <s v="LIB. NOTI IMOP JBFI KKMP PREC PROG TBTR"/>
    <s v="PL"/>
    <s v="Preventivo Sistemático"/>
    <s v="010"/>
    <s v="19.2026"/>
    <s v="SERVICIO INTERNO MAESTRANZA"/>
    <s v="CGSSTM02"/>
    <n v="1"/>
  </r>
  <r>
    <x v="2"/>
    <x v="2"/>
    <s v="08 INFR SERVIC Y SUMIN DCH"/>
    <x v="2"/>
    <s v="02 GRUAS INFRA DCH"/>
    <s v="110458134"/>
    <s v="Falla Morris  10 ton,Nave Central"/>
    <s v="LIB. NOTI IMOP JBFI KKMP PREC TBTR"/>
    <s v="NP"/>
    <s v="Correctivo No Planificado"/>
    <s v="035"/>
    <s v="18.2026"/>
    <s v="SERVICIO INTERNO MAESTRANZA"/>
    <s v="CGSSTM02"/>
    <n v="1"/>
  </r>
  <r>
    <x v="3"/>
    <x v="3"/>
    <s v="08 INFR SERVIC Y SUMIN DCH"/>
    <x v="3"/>
    <s v="CDEE"/>
    <s v="109642762"/>
    <s v="MGA LIMPIEZA Y MTTO.INTERRUPT.SECC.3-4 S"/>
    <s v="LIB. IMOP KKMP PREC TRAT ARPG"/>
    <s v="PL"/>
    <s v="Correctivo Planificado"/>
    <s v="025"/>
    <s v="18.2026"/>
    <s v="MANT &amp; PLANIF SUMINISTRO ELECTRICO"/>
    <s v="CGSSERME"/>
    <n v="1"/>
  </r>
  <r>
    <x v="3"/>
    <x v="3"/>
    <s v="08 INFR SERVIC Y SUMIN DCH"/>
    <x v="3"/>
    <s v="CDEE"/>
    <s v="109701799"/>
    <s v="Mant. Prot. y Med. Swgr  Trafo 3 S/E K-6"/>
    <s v="LIB. IMOP KKMP PREC TRAT"/>
    <s v="PL"/>
    <s v="Preventivo Sistemático"/>
    <s v="010"/>
    <s v="19.2026"/>
    <s v="MANT &amp; PLANIF SUMINISTRO ELECTRICO"/>
    <s v="CGSSERME"/>
    <n v="1"/>
  </r>
  <r>
    <x v="3"/>
    <x v="3"/>
    <s v="08 INFR SERVIC Y SUMIN DCH"/>
    <x v="3"/>
    <s v="CDEE"/>
    <s v="109910597"/>
    <s v="Mant. c/2 años L-15 S/E CHUQUI - S/E A"/>
    <s v="LIB. NOTP FENA IMOP KKMP PREC PROG TRAT"/>
    <s v="PL"/>
    <s v="Preventivo Sistemático"/>
    <s v="010"/>
    <s v="18.2026"/>
    <s v="MANT &amp; PLANIF SUMINISTRO ELECTRICO"/>
    <s v="CGSSERME"/>
    <n v="1"/>
  </r>
  <r>
    <x v="3"/>
    <x v="3"/>
    <s v="08 INFR SERVIC Y SUMIN DCH"/>
    <x v="3"/>
    <s v="CDEE"/>
    <s v="110186128"/>
    <s v="MGA MTTO.TABLEROS INT Y DESC, SEC EL 1 Y"/>
    <s v="LIB. IMOP KKMP PREC TRAT ARPG"/>
    <s v="PL"/>
    <s v="Correctivo Planificado"/>
    <s v="025"/>
    <s v="18.2026"/>
    <s v="MANT &amp; PLANIF SUMINISTRO ELECTRICO"/>
    <s v="CGSSERME"/>
    <n v="1"/>
  </r>
  <r>
    <x v="3"/>
    <x v="3"/>
    <s v="08 INFR SERVIC Y SUMIN DCH"/>
    <x v="3"/>
    <s v="CDEE"/>
    <s v="110186130"/>
    <s v="MTTO. TAB. INTERRUP. SECCION ELECT 5-6-7"/>
    <s v="LIB. IMOP KKMP PREC PROG TRAT"/>
    <s v="PL"/>
    <s v="Correctivo Planificado"/>
    <s v="025"/>
    <s v="17.2026"/>
    <s v="MANT &amp; PLANIF SUMINISTRO ELECTRICO"/>
    <s v="CGSSERME"/>
    <n v="1"/>
  </r>
  <r>
    <x v="3"/>
    <x v="3"/>
    <s v="08 INFR SERVIC Y SUMIN DCH"/>
    <x v="3"/>
    <s v="CDEE"/>
    <s v="110456613"/>
    <s v="Revisión y Rep 52HT9 S/E 10A"/>
    <s v="LIB. NOTI IMOP JBFI KKMP PREC TBTR"/>
    <s v="NP"/>
    <s v="Correctivo No Planificado"/>
    <s v="035"/>
    <s v="17.2026"/>
    <s v="MANT &amp; PLANIF SUMINISTRO ELECTRICO"/>
    <s v="CGSSERME"/>
    <n v="1"/>
  </r>
  <r>
    <x v="3"/>
    <x v="3"/>
    <s v="08 INFR SERVIC Y SUMIN DCH"/>
    <x v="3"/>
    <s v="CDEE"/>
    <s v="110465140"/>
    <s v="Levantamiento Línea 5kV Alim 5014"/>
    <s v="LIB. NOTI DOCU IMOP JBFI KKMP PREC TBTR"/>
    <s v="NP"/>
    <s v="Correctivo No Planificado"/>
    <s v="035"/>
    <s v="17.2026"/>
    <s v="MANT &amp; PLANIF SUMINISTRO ELECTRICO"/>
    <s v="CGSSERME"/>
    <n v="1"/>
  </r>
  <r>
    <x v="3"/>
    <x v="3"/>
    <s v="08 INFR SERVIC Y SUMIN DCH"/>
    <x v="3"/>
    <s v="CDEE"/>
    <s v="110466947"/>
    <s v="STN Traslado Generador a Puerta 2"/>
    <s v="ABIE FENA IMOP KKMP PREC ENET"/>
    <s v="PL"/>
    <s v="Correctivo Planificado"/>
    <s v="025"/>
    <s v="17.2026"/>
    <s v="MANT &amp; PLANIF SUMINISTRO ELECTRICO"/>
    <s v="CGSSERME"/>
    <n v="1"/>
  </r>
  <r>
    <x v="3"/>
    <x v="3"/>
    <s v="08 INFR SERVIC Y SUMIN DCH"/>
    <x v="3"/>
    <s v="CHSS-SE"/>
    <s v="110436353"/>
    <s v="Mantención Subestación SAG 17"/>
    <s v="LIB. IMOP KKMP PREC TRAT"/>
    <s v="PL"/>
    <s v="Preventivo Sistemático"/>
    <s v="010"/>
    <s v="17.2026"/>
    <s v="MANT &amp; PLANIF SUMINISTRO ELECTRICO"/>
    <s v="CGSSERME"/>
    <n v="1"/>
  </r>
  <r>
    <x v="3"/>
    <x v="3"/>
    <s v="08 INFR SERVIC Y SUMIN DCH"/>
    <x v="3"/>
    <s v="CHSS-SE"/>
    <s v="110436354"/>
    <s v="Mantención Protecciones y Medidas SAG 17"/>
    <s v="LIB. IMOP KKMP PREC TRAT"/>
    <s v="PL"/>
    <s v="Preventivo Sistemático"/>
    <s v="010"/>
    <s v="17.2026"/>
    <s v="MANT &amp; PLANIF SUMINISTRO ELECTRICO"/>
    <s v="CGSSERME"/>
    <n v="1"/>
  </r>
  <r>
    <x v="3"/>
    <x v="3"/>
    <s v="08 INFR SERVIC Y SUMIN DCH"/>
    <x v="3"/>
    <s v="CHSS-SE"/>
    <s v="110453648"/>
    <s v="STN Apoyo con camión alza personas"/>
    <s v="LIB. IMOP KKMP PREC TRAT"/>
    <s v="NP"/>
    <s v="Correctivo No Planificado"/>
    <s v="035"/>
    <s v="17.2026"/>
    <s v="MANT &amp; PLANIF SUMINISTRO ELECTRICO"/>
    <s v="CGSSERME"/>
    <n v="1"/>
  </r>
  <r>
    <x v="3"/>
    <x v="3"/>
    <s v="08 INFR SERVIC Y SUMIN DCH"/>
    <x v="3"/>
    <s v="CHSS-SE"/>
    <s v="110479295"/>
    <s v="MGA Mantención Celfda ER-05 Tchitack"/>
    <s v="LIB. IMOP KKMP PREC TRAT"/>
    <s v="PL"/>
    <s v="Correctivo Planificado"/>
    <s v="025"/>
    <s v="18.2026"/>
    <s v="MANT. INT SUMINISTRO ELECTRICO"/>
    <s v="CGSMPE03"/>
    <n v="1"/>
  </r>
  <r>
    <x v="3"/>
    <x v="3"/>
    <s v="08 INFR SERVIC Y SUMIN DCH"/>
    <x v="2"/>
    <s v="03 SIST. C.INCENDIO INFRA DCH"/>
    <s v="110345001"/>
    <s v="INSPECCION SISTEMA SAPCI S/E KM6"/>
    <s v="LIB. IMOP KKMP PREC PROG TRAT"/>
    <s v="PL"/>
    <s v="Preventivo Predictivo"/>
    <s v="020"/>
    <s v="16.2026"/>
    <s v="MANT &amp; PLANIF SUMINISTRO ELECTRICO"/>
    <s v="CGSSERME"/>
    <n v="1"/>
  </r>
  <r>
    <x v="3"/>
    <x v="3"/>
    <s v="08 INFR SERVIC Y SUMIN DCH"/>
    <x v="2"/>
    <s v="03 SIST. C.INCENDIO INFRA DCH"/>
    <s v="110345002"/>
    <s v="INSPECCION SISTEMA SAPCI S/E 10"/>
    <s v="LIB. IMOP KKMP PREC PROG TRAT"/>
    <s v="PL"/>
    <s v="Preventivo Predictivo"/>
    <s v="020"/>
    <s v="16.2026"/>
    <s v="MANT &amp; PLANIF SUMINISTRO ELECTRICO"/>
    <s v="CGSSERME"/>
    <n v="1"/>
  </r>
  <r>
    <x v="3"/>
    <x v="3"/>
    <s v="08 INFR SERVIC Y SUMIN DCH"/>
    <x v="2"/>
    <s v="03 SIST. C.INCENDIO INFRA DCH"/>
    <s v="110345005"/>
    <s v="INSPECCION SISTEMA SAPCI S/E CHUQUICAMAT"/>
    <s v="LIB. IMOP KKMP PREC PROG TRAT"/>
    <s v="PL"/>
    <s v="Preventivo Predictivo"/>
    <s v="020"/>
    <s v="16.2026"/>
    <s v="MANT &amp; PLANIF SUMINISTRO ELECTRICO"/>
    <s v="CGSSERME"/>
    <n v="1"/>
  </r>
  <r>
    <x v="3"/>
    <x v="3"/>
    <s v="08 INFR SERVIC Y SUMIN DCH"/>
    <x v="2"/>
    <s v="03 SIST. C.INCENDIO INFRA DCH"/>
    <s v="110345006"/>
    <s v="INSPECCION SISTEMA SAPCI  S/E SUB-A"/>
    <s v="LIB. IMOP KKMP PREC PROG TRAT"/>
    <s v="PL"/>
    <s v="Preventivo Predictivo"/>
    <s v="020"/>
    <s v="16.2026"/>
    <s v="MANT &amp; PLANIF SUMINISTRO ELECTRICO"/>
    <s v="CGSSERME"/>
    <n v="1"/>
  </r>
  <r>
    <x v="4"/>
    <x v="4"/>
    <s v="08 INFR SERVIC Y SUMIN DCH"/>
    <x v="1"/>
    <s v="#"/>
    <s v="110373141"/>
    <s v="CAMBIO DE CORAZA POSTE SH N⁰ 10095854"/>
    <s v="LIB. NOTP IMOP KKMP PREC PROG TRAT"/>
    <s v="ST"/>
    <s v="Reparación"/>
    <s v="060"/>
    <s v="17.2026"/>
    <s v="SERVICIO INTERNO CALDERERIA"/>
    <s v="CGSSTM03"/>
    <n v="1"/>
  </r>
  <r>
    <x v="4"/>
    <x v="4"/>
    <s v="08 INFR SERVIC Y SUMIN DCH"/>
    <x v="1"/>
    <s v="#"/>
    <s v="110387261"/>
    <s v="CAMBIO CORAZA POSTE SH N°10099065"/>
    <s v="LIB. NOTI IMOP JBFI KKMP PREC PROG TBTR"/>
    <s v="ST"/>
    <s v="Reparación"/>
    <s v="060"/>
    <s v="17.2026"/>
    <s v="SERVICIO INTERNO CALDERERIA"/>
    <s v="CGSSTM03"/>
    <n v="1"/>
  </r>
  <r>
    <x v="4"/>
    <x v="4"/>
    <s v="08 INFR SERVIC Y SUMIN DCH"/>
    <x v="1"/>
    <s v="#"/>
    <s v="110387265"/>
    <s v="CAMBIO CORAZA POSTE SH N°10104410"/>
    <s v="LIB. NOTP IMOP KKMP PREC PROG TRAT"/>
    <s v="ST"/>
    <s v="Reparación"/>
    <s v="060"/>
    <s v="17.2026"/>
    <s v="SERVICIO INTERNO CALDERERIA"/>
    <s v="CGSSTM03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21.2026"/>
    <s v="08 INFR SERVIC Y SUMIN DCH"/>
    <x v="0"/>
    <s v="CDEE"/>
    <s v="MANT &amp; PLANIF SUMINISTRO ELECTRICO"/>
    <s v="CGSSERME"/>
    <s v="025"/>
    <s v="Correctivo Planificado"/>
    <x v="0"/>
    <x v="0"/>
    <s v="110329599"/>
    <s v="STN REP. CAJA CONEX. ALUMB. PATIO S/E A"/>
    <s v="NOTI CTEC JBFI NLIQ PWF  RESA PLAN"/>
    <s v="PL"/>
    <n v="67"/>
    <d v="2026-03-12T00:00:00"/>
    <d v="2026-05-18T00:00:00"/>
    <s v="98949"/>
    <n v="100"/>
    <n v="8"/>
    <n v="8"/>
    <x v="0"/>
  </r>
  <r>
    <s v="21.2026"/>
    <s v="08 INFR SERVIC Y SUMIN DCH"/>
    <x v="0"/>
    <s v="CDEE"/>
    <s v="MANT &amp; PLANIF SUMINISTRO ELECTRICO"/>
    <s v="CGSSERME"/>
    <s v="025"/>
    <s v="Correctivo Planificado"/>
    <x v="0"/>
    <x v="0"/>
    <s v="110504750"/>
    <s v="STN INSP PEDESTRE LINEA ENC TCHITACK"/>
    <s v="NOTI JBFI LIB. NLIQ PLAN PWF"/>
    <s v="PL"/>
    <n v="13"/>
    <d v="2026-05-07T00:00:00"/>
    <d v="2026-05-20T00:00:00"/>
    <s v="98949"/>
    <n v="100"/>
    <n v="32"/>
    <n v="32"/>
    <x v="0"/>
  </r>
  <r>
    <s v="21.2026"/>
    <s v="08 INFR SERVIC Y SUMIN DCH"/>
    <x v="0"/>
    <s v="CHSS-SE"/>
    <s v="MANT &amp; PLANIF SUMINISTRO ELECTRICO"/>
    <s v="CGSSERME"/>
    <s v="010"/>
    <s v="Preventivo Sistemático"/>
    <x v="0"/>
    <x v="0"/>
    <s v="110258373"/>
    <s v="MTTO. PAÑO TRANSFORMADOR 9 S/E 10A"/>
    <s v="NOTI CTEC JBFI NLIQ PWF  RESA PLAN"/>
    <s v="PL"/>
    <n v="8"/>
    <d v="2026-05-13T00:00:00"/>
    <d v="2026-05-21T00:00:00"/>
    <s v="24496"/>
    <n v="100"/>
    <n v="1"/>
    <n v="1"/>
    <x v="0"/>
  </r>
  <r>
    <s v="21.2026"/>
    <s v="08 INFR SERVIC Y SUMIN DCH"/>
    <x v="0"/>
    <s v="CHSS-SE"/>
    <s v="MANT &amp; PLANIF SUMINISTRO ELECTRICO"/>
    <s v="CGSSERME"/>
    <s v="010"/>
    <s v="Preventivo Sistemático"/>
    <x v="0"/>
    <x v="0"/>
    <s v="110258373"/>
    <s v="MTTO. PAÑO TRANSFORMADOR 9 S/E 10A"/>
    <s v="NOTI CTEC JBFI NLIQ PWF PLAN"/>
    <s v="PL"/>
    <n v="8"/>
    <d v="2026-05-13T00:00:00"/>
    <d v="2026-05-21T00:00:00"/>
    <s v="24496"/>
    <n v="100"/>
    <n v="24"/>
    <n v="24"/>
    <x v="0"/>
  </r>
  <r>
    <s v="21.2026"/>
    <s v="08 INFR SERVIC Y SUMIN DCH"/>
    <x v="0"/>
    <s v="CHSS-SE"/>
    <s v="MANT &amp; PLANIF SUMINISTRO ELECTRICO"/>
    <s v="CGSSERME"/>
    <s v="010"/>
    <s v="Preventivo Sistemático"/>
    <x v="0"/>
    <x v="0"/>
    <s v="110464146"/>
    <s v="Termografía 2M S/E A"/>
    <s v="NOTI CTEC JBFI NLIQ PWF PLAN"/>
    <s v="PL"/>
    <n v="11"/>
    <d v="2026-05-13T00:00:00"/>
    <d v="2026-05-24T00:00:00"/>
    <s v="25012"/>
    <n v="100"/>
    <n v="6"/>
    <n v="6"/>
    <x v="0"/>
  </r>
  <r>
    <s v="21.2026"/>
    <s v="08 INFR SERVIC Y SUMIN DCH"/>
    <x v="0"/>
    <s v="CHSS-SE"/>
    <s v="MANT &amp; PLANIF SUMINISTRO ELECTRICO"/>
    <s v="CGSSERME"/>
    <s v="010"/>
    <s v="Preventivo Sistemático"/>
    <x v="0"/>
    <x v="0"/>
    <s v="110464147"/>
    <s v="Termografía 2M S/E Chuquicamata"/>
    <s v="NOTI CTEC JBFI NLIQ PWF PLAN"/>
    <s v="PL"/>
    <n v="11"/>
    <d v="2026-05-13T00:00:00"/>
    <d v="2026-05-24T00:00:00"/>
    <s v="25012"/>
    <n v="100"/>
    <n v="6"/>
    <n v="6"/>
    <x v="0"/>
  </r>
  <r>
    <s v="21.2026"/>
    <s v="08 INFR SERVIC Y SUMIN DCH"/>
    <x v="0"/>
    <s v="CHSS-SE"/>
    <s v="MANT &amp; PLANIF SUMINISTRO ELECTRICO"/>
    <s v="CGSSERME"/>
    <s v="010"/>
    <s v="Preventivo Sistemático"/>
    <x v="0"/>
    <x v="0"/>
    <s v="110472936"/>
    <s v="Termografía 2M S/E 10A"/>
    <s v="NOTI CTEC JBFI NLIQ PWF PLAN"/>
    <s v="PL"/>
    <n v="11"/>
    <d v="2026-05-13T00:00:00"/>
    <d v="2026-05-24T00:00:00"/>
    <s v="25012"/>
    <n v="100"/>
    <n v="6"/>
    <n v="6"/>
    <x v="0"/>
  </r>
  <r>
    <s v="21.2026"/>
    <s v="08 INFR SERVIC Y SUMIN DCH"/>
    <x v="0"/>
    <s v="CHSS-SE"/>
    <s v="MANT &amp; PLANIF SUMINISTRO ELECTRICO"/>
    <s v="CGSSERME"/>
    <s v="020"/>
    <s v="Preventivo Predictivo"/>
    <x v="0"/>
    <x v="0"/>
    <s v="110447767"/>
    <s v="MED.DESCARGA PARC.S/E TCHITACK TR AUX.1"/>
    <s v="NOTI CTEC JBFI NLIQ PWF PLAN"/>
    <s v="PL"/>
    <n v="11"/>
    <d v="2026-05-13T00:00:00"/>
    <d v="2026-05-24T00:00:00"/>
    <s v="18845"/>
    <n v="100"/>
    <n v="4"/>
    <n v="4"/>
    <x v="0"/>
  </r>
  <r>
    <s v="21.2026"/>
    <s v="08 INFR SERVIC Y SUMIN DCH"/>
    <x v="0"/>
    <s v="CHSS-SE"/>
    <s v="MANT &amp; PLANIF SUMINISTRO ELECTRICO"/>
    <s v="CGSSERME"/>
    <s v="020"/>
    <s v="Preventivo Predictivo"/>
    <x v="0"/>
    <x v="0"/>
    <s v="110447768"/>
    <s v="MED.DESCARGA PARC.S/E TCHITACK TR AUX.2"/>
    <s v="NOTI CTEC JBFI NLIQ PWF PLAN"/>
    <s v="PL"/>
    <n v="11"/>
    <d v="2026-05-13T00:00:00"/>
    <d v="2026-05-24T00:00:00"/>
    <s v="18845"/>
    <n v="100"/>
    <n v="12"/>
    <n v="12"/>
    <x v="0"/>
  </r>
  <r>
    <s v="21.2026"/>
    <s v="08 INFR SERVIC Y SUMIN DCH"/>
    <x v="0"/>
    <s v="CHSS-SE"/>
    <s v="MANT &amp; PLANIF SUMINISTRO ELECTRICO"/>
    <s v="CGSSERME"/>
    <s v="020"/>
    <s v="Preventivo Predictivo"/>
    <x v="0"/>
    <x v="0"/>
    <s v="110468802"/>
    <s v="INSPECCION ALIMENTADOR VENTILACIÓN EXTRA"/>
    <s v="NOTI CTEC JBFI NLIQ PWF PLAN"/>
    <s v="PL"/>
    <n v="11"/>
    <d v="2026-05-13T00:00:00"/>
    <d v="2026-05-24T00:00:00"/>
    <s v="98488"/>
    <n v="100"/>
    <n v="12"/>
    <n v="12"/>
    <x v="0"/>
  </r>
  <r>
    <s v="21.2026"/>
    <s v="08 INFR SERVIC Y SUMIN DCH"/>
    <x v="0"/>
    <s v="CHSS-SE"/>
    <s v="MANT &amp; PLANIF SUMINISTRO ELECTRICO"/>
    <s v="CGSSERME"/>
    <s v="025"/>
    <s v="Correctivo Planificado"/>
    <x v="0"/>
    <x v="0"/>
    <s v="110325637"/>
    <s v="PRO - Lvtmto Printouts Tchitack 220kV"/>
    <s v="NOTI CTEC JBFI NLIQ PWF PLAN"/>
    <s v="PL"/>
    <n v="73"/>
    <d v="2026-03-10T00:00:00"/>
    <d v="2026-05-22T00:00:00"/>
    <s v="24474"/>
    <n v="100"/>
    <n v="12"/>
    <n v="12"/>
    <x v="0"/>
  </r>
  <r>
    <s v="21.2026"/>
    <s v="08 INFR SERVIC Y SUMIN DCH"/>
    <x v="0"/>
    <s v="CHSS-SE"/>
    <s v="MANT &amp; PLANIF SUMINISTRO ELECTRICO"/>
    <s v="CGSSERME"/>
    <s v="025"/>
    <s v="Correctivo Planificado"/>
    <x v="0"/>
    <x v="0"/>
    <s v="110413484"/>
    <s v="INSP ALIMENTADOR 1 VENTILACIÓN INYECCIÓn"/>
    <s v="NOTI CTEC JBFI NLIQ PWF PLAN"/>
    <s v="PL"/>
    <n v="10"/>
    <d v="2026-05-13T00:00:00"/>
    <d v="2026-05-23T00:00:00"/>
    <s v="10371"/>
    <n v="100"/>
    <n v="44"/>
    <n v="44"/>
    <x v="0"/>
  </r>
  <r>
    <s v="21.2026"/>
    <s v="08 INFR SERVIC Y SUMIN DCH"/>
    <x v="0"/>
    <s v="CHSS-SE"/>
    <s v="MANT &amp; PLANIF SUMINISTRO ELECTRICO"/>
    <s v="CGSSERME"/>
    <s v="025"/>
    <s v="Correctivo Planificado"/>
    <x v="0"/>
    <x v="0"/>
    <s v="110522037"/>
    <s v="Cambiar silica gel TR15 sub/est A"/>
    <s v="NOTI CTEC JBFI NLIQ PWF PLAN"/>
    <s v="PL"/>
    <n v="9"/>
    <d v="2026-05-13T00:00:00"/>
    <d v="2026-05-22T00:00:00"/>
    <s v="56675"/>
    <n v="100"/>
    <n v="6"/>
    <n v="6"/>
    <x v="0"/>
  </r>
  <r>
    <s v="21.2026"/>
    <s v="08 INFR SERVIC Y SUMIN DCH"/>
    <x v="0"/>
    <s v="CHSS-SE"/>
    <s v="MANT &amp; PLANIF SUMINISTRO ELECTRICO"/>
    <s v="CGSSERME"/>
    <s v="025"/>
    <s v="Correctivo Planificado"/>
    <x v="0"/>
    <x v="0"/>
    <s v="110522038"/>
    <s v="cambio silica gel TR quinto molino"/>
    <s v="NOTI CTEC JBFI NLIQ PWF PLAN"/>
    <s v="PL"/>
    <n v="10"/>
    <d v="2026-05-13T00:00:00"/>
    <d v="2026-05-23T00:00:00"/>
    <s v="56675"/>
    <n v="100"/>
    <n v="6"/>
    <n v="6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32889"/>
    <s v="MRT 4S MEC TOMA MUESTRA ACEITE S21"/>
    <s v="NOTI CTEC JBFI NLIQ PWF PLAN"/>
    <s v="PL"/>
    <n v="14"/>
    <d v="2026-05-09T00:00:00"/>
    <d v="2026-05-23T00:00:00"/>
    <s v="92590"/>
    <n v="100"/>
    <n v="4"/>
    <n v="4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47925"/>
    <s v="INSPECCION SALA ELECTRICA"/>
    <s v="NOTI CTEC JBFI NLIQ PWF  RESA PLAN"/>
    <s v="PL"/>
    <n v="11"/>
    <d v="2026-05-09T00:00:00"/>
    <d v="2026-05-20T00:00:00"/>
    <s v="96762"/>
    <n v="100"/>
    <n v="2"/>
    <n v="2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48000"/>
    <s v="MRT 4S MTTO MEC BOMBA AURORA"/>
    <s v="NOTI CTEC JBFI NLIQ PWF  RESA PLAN"/>
    <s v="PL"/>
    <n v="11"/>
    <d v="2026-05-09T00:00:00"/>
    <d v="2026-05-20T00:00:00"/>
    <s v="98030"/>
    <n v="100"/>
    <n v="6.9"/>
    <n v="6.9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48001"/>
    <s v="MRT 4S MTTO MEC BOMBA 3C"/>
    <s v="NOTI CTEC JBFI NLIQ PWF  RESA PLAN"/>
    <s v="PL"/>
    <n v="10"/>
    <d v="2026-05-09T00:00:00"/>
    <d v="2026-05-19T00:00:00"/>
    <s v="98031"/>
    <n v="100"/>
    <n v="5.8"/>
    <n v="5.8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48001"/>
    <s v="MRT 4S MTTO MEC BOMBA 3C"/>
    <s v="NOTI CTEC JBFI NLIQ PWF PLAN"/>
    <s v="PL"/>
    <n v="10"/>
    <d v="2026-05-09T00:00:00"/>
    <d v="2026-05-19T00:00:00"/>
    <s v="98031"/>
    <n v="100"/>
    <n v="1"/>
    <n v="1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48901"/>
    <s v="MRT 1S MEC LIMPIEZA MOLINO HARDINGE 1"/>
    <s v="NOTI CTEC JBFI NLIQ PWF  RESA PLAN"/>
    <s v="PL"/>
    <n v="9"/>
    <d v="2026-05-09T00:00:00"/>
    <d v="2026-05-18T00:00:00"/>
    <s v="49861"/>
    <n v="100"/>
    <n v="8"/>
    <n v="8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48901"/>
    <s v="MRT 1S MEC LIMPIEZA MOLINO HARDINGE 1"/>
    <s v="NOTI CTEC JBFI NLIQ PWF PLAN"/>
    <s v="PL"/>
    <n v="9"/>
    <d v="2026-05-09T00:00:00"/>
    <d v="2026-05-18T00:00:00"/>
    <s v="49861"/>
    <n v="100"/>
    <n v="1"/>
    <n v="1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48902"/>
    <s v="MRT 1S MEC LIMPIEZA MOLINO HARDINGE 2"/>
    <s v="NOTI CTEC JBFI NLIQ PWF  RESA PLAN"/>
    <s v="PL"/>
    <n v="10"/>
    <d v="2026-05-09T00:00:00"/>
    <d v="2026-05-19T00:00:00"/>
    <s v="49861"/>
    <n v="100"/>
    <n v="8"/>
    <n v="8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48902"/>
    <s v="MRT 1S MEC LIMPIEZA MOLINO HARDINGE 2"/>
    <s v="NOTI CTEC JBFI NLIQ PWF PLAN"/>
    <s v="PL"/>
    <n v="10"/>
    <d v="2026-05-09T00:00:00"/>
    <d v="2026-05-19T00:00:00"/>
    <s v="49861"/>
    <n v="100"/>
    <n v="1"/>
    <n v="1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48903"/>
    <s v="MRT 1S MEC LIMPIEZA MOLINO TORRE"/>
    <s v="NOTI CTEC JBFI NLIQ PWF  RESA PLAN"/>
    <s v="PL"/>
    <n v="11"/>
    <d v="2026-05-09T00:00:00"/>
    <d v="2026-05-20T00:00:00"/>
    <s v="49861"/>
    <n v="100"/>
    <n v="15"/>
    <n v="15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48903"/>
    <s v="MRT 1S MEC LIMPIEZA MOLINO TORRE"/>
    <s v="NOTI CTEC JBFI NLIQ PWF PLAN"/>
    <s v="PL"/>
    <n v="10"/>
    <d v="2026-05-09T00:00:00"/>
    <d v="2026-05-19T00:00:00"/>
    <s v="49861"/>
    <n v="100"/>
    <n v="1"/>
    <n v="1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48905"/>
    <s v="MRT 1S MEC LIMPIEZA AEROVENTILADORES"/>
    <s v="NOTI CTEC JBFI NLIQ PWF  RESA PLAN"/>
    <s v="PL"/>
    <n v="13"/>
    <d v="2026-05-09T00:00:00"/>
    <d v="2026-05-22T00:00:00"/>
    <s v="92335"/>
    <n v="100"/>
    <n v="8"/>
    <n v="8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48908"/>
    <s v="MRT 1S MTTO CORREA 132"/>
    <s v="NOTI CTEC JBFI NLIQ PWF  RESA PLAN"/>
    <s v="PL"/>
    <n v="9"/>
    <d v="2026-05-09T00:00:00"/>
    <d v="2026-05-18T00:00:00"/>
    <s v="98137"/>
    <n v="100"/>
    <n v="19"/>
    <n v="19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48908"/>
    <s v="MRT 1S MTTO CORREA 132"/>
    <s v="NOTI CTEC JBFI NLIQ PWF PLAN"/>
    <s v="PL"/>
    <n v="9"/>
    <d v="2026-05-09T00:00:00"/>
    <d v="2026-05-18T00:00:00"/>
    <s v="98137"/>
    <n v="100"/>
    <n v="3"/>
    <n v="3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48909"/>
    <s v="MRT 1S MTTO CORREA 129"/>
    <s v="NOTI CTEC JBFI NLIQ PWF  RESA PLAN"/>
    <s v="PL"/>
    <n v="10"/>
    <d v="2026-05-09T00:00:00"/>
    <d v="2026-05-19T00:00:00"/>
    <s v="98137"/>
    <n v="100"/>
    <n v="19"/>
    <n v="19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48909"/>
    <s v="MRT 1S MTTO CORREA 129"/>
    <s v="NOTI CTEC JBFI NLIQ PWF PLAN"/>
    <s v="PL"/>
    <n v="10"/>
    <d v="2026-05-09T00:00:00"/>
    <d v="2026-05-19T00:00:00"/>
    <s v="98137"/>
    <n v="100"/>
    <n v="3"/>
    <n v="3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48911"/>
    <s v="MRT 1S LIMPIEZA FILTRO DE MANGA"/>
    <s v="NOTI CTEC JBFI NLIQ PWF  RESA PLAN"/>
    <s v="PL"/>
    <n v="9"/>
    <d v="2026-05-09T00:00:00"/>
    <d v="2026-05-18T00:00:00"/>
    <s v="98306"/>
    <n v="100"/>
    <n v="6"/>
    <n v="6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68786"/>
    <s v="MRT 3S MEC MTTO ANÁLISIS VIBRACIONES CTR"/>
    <s v="NOTI CTEC JBFI NLIQ PWF  RESA PLAN"/>
    <s v="PL"/>
    <n v="11"/>
    <d v="2026-05-09T00:00:00"/>
    <d v="2026-05-20T00:00:00"/>
    <s v="97235"/>
    <n v="100"/>
    <n v="3"/>
    <n v="3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468787"/>
    <s v="MRT 3S MEC MTTO ANÁLISIS VIBRACIONES PHC"/>
    <s v="NOTI CTEC JBFI NLIQ PWF  RESA PLAN"/>
    <s v="PL"/>
    <n v="10"/>
    <d v="2026-05-09T00:00:00"/>
    <d v="2026-05-19T00:00:00"/>
    <s v="97235"/>
    <n v="100"/>
    <n v="3"/>
    <n v="3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500458"/>
    <s v="MRT 4S MEC INSP SOPLADOR N°7"/>
    <s v="NOTI CTEC JBFI NLIQ PWF  RESA PLAN"/>
    <s v="PL"/>
    <n v="12"/>
    <d v="2026-05-09T00:00:00"/>
    <d v="2026-05-21T00:00:00"/>
    <s v="96563"/>
    <n v="100"/>
    <n v="39.200000000000003"/>
    <n v="39.200000000000003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500509"/>
    <s v="MRT 6M MTTO COMPRESOR N°29"/>
    <s v="NOTI CTEC JBFI NLIQ PWF  RESA PLAN"/>
    <s v="PL"/>
    <n v="12"/>
    <d v="2026-05-06T00:00:00"/>
    <d v="2026-05-18T00:00:00"/>
    <s v="35354"/>
    <n v="100"/>
    <n v="19"/>
    <n v="19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500509"/>
    <s v="MRT 6M MTTO COMPRESOR N°29"/>
    <s v="NOTI CTEC JBFI NLIQ PWF  RESA PLAN"/>
    <s v="PL"/>
    <n v="16"/>
    <d v="2026-05-06T00:00:00"/>
    <d v="2026-05-22T00:00:00"/>
    <s v="35354"/>
    <n v="100"/>
    <n v="2"/>
    <n v="2"/>
    <x v="0"/>
  </r>
  <r>
    <s v="21.2026"/>
    <s v="08 INFR SERVIC Y SUMIN DCH"/>
    <x v="1"/>
    <s v="CHSS-SU"/>
    <s v="MANT &amp; PLANIF CENTRAL TERMICA SULFUROS"/>
    <s v="CGSTMRMM"/>
    <s v="010"/>
    <s v="Preventivo Sistemático"/>
    <x v="1"/>
    <x v="1"/>
    <s v="110500509"/>
    <s v="MRT 6M MTTO COMPRESOR N°29"/>
    <s v="NOTI CTEC JBFI NLIQ PWF PLAN"/>
    <s v="PL"/>
    <n v="12"/>
    <d v="2026-05-06T00:00:00"/>
    <d v="2026-05-18T00:00:00"/>
    <s v="35354"/>
    <n v="100"/>
    <n v="40"/>
    <n v="40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09037159"/>
    <s v="Cambio de calefactor de aceite Comp N°1"/>
    <s v="NOTI CTEC JBFI NLIQ PWF  RESA PLAN"/>
    <s v="PL"/>
    <n v="480"/>
    <d v="2025-01-23T00:00:00"/>
    <d v="2026-05-18T00:00:00"/>
    <s v="40779"/>
    <n v="100"/>
    <n v="4"/>
    <n v="4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09037159"/>
    <s v="Cambio de calefactor de aceite Comp N°1"/>
    <s v="NOTI CTEC JBFI NLIQ PWF PLAN"/>
    <s v="PL"/>
    <n v="480"/>
    <d v="2025-01-23T00:00:00"/>
    <d v="2026-05-18T00:00:00"/>
    <s v="40779"/>
    <n v="100"/>
    <n v="5"/>
    <n v="5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09170171"/>
    <s v="COMP 8 CAMBIO VALVULAS AD/VE (ACT)"/>
    <s v="NOTI CTEC JBFI NLIQ PWF  RESA PLAN"/>
    <s v="PL"/>
    <n v="439"/>
    <d v="2025-03-06T00:00:00"/>
    <d v="2026-05-19T00:00:00"/>
    <s v="40779"/>
    <n v="100"/>
    <n v="16"/>
    <n v="16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09170171"/>
    <s v="COMP 8 CAMBIO VALVULAS AD/VE (ACT)"/>
    <s v="NOTI CTEC JBFI NLIQ PWF PLAN"/>
    <s v="PL"/>
    <n v="438"/>
    <d v="2025-03-06T00:00:00"/>
    <d v="2026-05-18T00:00:00"/>
    <s v="40779"/>
    <n v="100"/>
    <n v="3"/>
    <n v="3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09207353"/>
    <s v="COMP 8 Cambio rotor de alta  (ACT)"/>
    <s v="NOTI CTEC JBFI NLIQ PWF  RESA PLAN"/>
    <s v="PL"/>
    <n v="427"/>
    <d v="2025-03-18T00:00:00"/>
    <d v="2026-05-19T00:00:00"/>
    <s v="40779"/>
    <n v="100"/>
    <n v="4"/>
    <n v="4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09207353"/>
    <s v="COMP 8 Cambio rotor de alta  (ACT)"/>
    <s v="NOTI CTEC JBFI NLIQ PWF  RESA PLAN"/>
    <s v="PL"/>
    <n v="428"/>
    <d v="2025-03-18T00:00:00"/>
    <d v="2026-05-20T00:00:00"/>
    <s v="40779"/>
    <n v="100"/>
    <n v="18"/>
    <n v="18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09207353"/>
    <s v="COMP 8 Cambio rotor de alta  (ACT)"/>
    <s v="NOTI CTEC JBFI NLIQ PWF PLAN"/>
    <s v="PL"/>
    <n v="427"/>
    <d v="2025-03-18T00:00:00"/>
    <d v="2026-05-19T00:00:00"/>
    <s v="40779"/>
    <n v="100"/>
    <n v="17"/>
    <n v="17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09207578"/>
    <s v="COMP 8 Cambio roto de baja (ACT)"/>
    <s v="NOTI CTEC JBFI NLIQ PWF  RESA PLAN"/>
    <s v="PL"/>
    <n v="428"/>
    <d v="2025-03-18T00:00:00"/>
    <d v="2026-05-20T00:00:00"/>
    <s v="40779"/>
    <n v="100"/>
    <n v="18"/>
    <n v="18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09207578"/>
    <s v="COMP 8 Cambio roto de baja (ACT)"/>
    <s v="NOTI CTEC JBFI NLIQ PWF PLAN"/>
    <s v="PL"/>
    <n v="427"/>
    <d v="2025-03-18T00:00:00"/>
    <d v="2026-05-19T00:00:00"/>
    <s v="40779"/>
    <n v="100"/>
    <n v="5"/>
    <n v="5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09207578"/>
    <s v="COMP 8 Cambio roto de baja (ACT)"/>
    <s v="NOTI CTEC JBFI NLIQ PWF PLAN"/>
    <s v="PL"/>
    <n v="428"/>
    <d v="2025-03-18T00:00:00"/>
    <d v="2026-05-20T00:00:00"/>
    <s v="40779"/>
    <n v="100"/>
    <n v="16"/>
    <n v="16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09356986"/>
    <s v="Cambio adaptadores en compresores 90 psi"/>
    <s v="NOTI CTEC JBFI NLIQ PWF  RESA PLAN"/>
    <s v="PL"/>
    <n v="374"/>
    <d v="2025-05-12T00:00:00"/>
    <d v="2026-05-21T00:00:00"/>
    <s v="40779"/>
    <n v="100"/>
    <n v="16"/>
    <n v="16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09356986"/>
    <s v="Cambio adaptadores en compresores 90 psi"/>
    <s v="NOTI CTEC JBFI NLIQ PWF PLAN"/>
    <s v="PL"/>
    <n v="373"/>
    <d v="2025-05-12T00:00:00"/>
    <d v="2026-05-20T00:00:00"/>
    <s v="40779"/>
    <n v="100"/>
    <n v="5"/>
    <n v="5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09361620"/>
    <s v="Mejoras líneas lubricación sopladores."/>
    <s v="NOTI CTEC JBFI NLIQ PWF  RESA PLAN"/>
    <s v="PL"/>
    <n v="374"/>
    <d v="2025-05-12T00:00:00"/>
    <d v="2026-05-21T00:00:00"/>
    <s v="40779"/>
    <n v="100"/>
    <n v="8"/>
    <n v="8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09361620"/>
    <s v="Mejoras líneas lubricación sopladores."/>
    <s v="NOTI CTEC JBFI NLIQ PWF PLAN"/>
    <s v="PL"/>
    <n v="373"/>
    <d v="2025-05-12T00:00:00"/>
    <d v="2026-05-20T00:00:00"/>
    <s v="40779"/>
    <n v="100"/>
    <n v="5"/>
    <n v="5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005386"/>
    <s v="R-COMP 12 PORTA FILTRO AGUA DESGASTE"/>
    <s v="NOTI CTEC JBFI NLIQ PWF  RESA PLAN"/>
    <s v="PL"/>
    <n v="169"/>
    <d v="2025-12-02T00:00:00"/>
    <d v="2026-05-20T00:00:00"/>
    <s v="40779"/>
    <n v="100"/>
    <n v="10"/>
    <n v="10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023389"/>
    <s v="COMP 28 PORTA FILTRO AGUA DESGASTE"/>
    <s v="NOTI CTEC JBFI NLIQ PWF  RESA PLAN"/>
    <s v="PL"/>
    <n v="171"/>
    <d v="2025-12-02T00:00:00"/>
    <d v="2026-05-22T00:00:00"/>
    <s v="40779"/>
    <n v="100"/>
    <n v="9"/>
    <n v="9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023389"/>
    <s v="COMP 28 PORTA FILTRO AGUA DESGASTE"/>
    <s v="NOTI CTEC JBFI NLIQ PWF PLAN"/>
    <s v="PL"/>
    <n v="170"/>
    <d v="2025-12-02T00:00:00"/>
    <d v="2026-05-21T00:00:00"/>
    <s v="40779"/>
    <n v="100"/>
    <n v="1"/>
    <n v="1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023390"/>
    <s v="COMP 29 PORTA FILTRO AGUA DESGASTE"/>
    <s v="NOTI CTEC JBFI NLIQ PWF  RESA PLAN"/>
    <s v="PL"/>
    <n v="170"/>
    <d v="2025-12-02T00:00:00"/>
    <d v="2026-05-21T00:00:00"/>
    <s v="40779"/>
    <n v="100"/>
    <n v="9"/>
    <n v="9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023390"/>
    <s v="COMP 29 PORTA FILTRO AGUA DESGASTE"/>
    <s v="NOTI CTEC JBFI NLIQ PWF PLAN"/>
    <s v="PL"/>
    <n v="170"/>
    <d v="2025-12-02T00:00:00"/>
    <d v="2026-05-21T00:00:00"/>
    <s v="40779"/>
    <n v="100"/>
    <n v="1"/>
    <n v="1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75425"/>
    <s v="48M MTTO COMPRESOR 08"/>
    <s v="NOTI CTEC JBFI NLIQ PWF PLAN"/>
    <s v="PL"/>
    <n v="18"/>
    <d v="2026-05-03T00:00:00"/>
    <d v="2026-05-21T00:00:00"/>
    <s v="40779"/>
    <n v="100"/>
    <n v="2"/>
    <n v="2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75425"/>
    <s v="48M MTTO COMPRESOR 08"/>
    <s v="NOTI CTEC JBFI NLIQ PWF PLAN"/>
    <s v="PL"/>
    <n v="19"/>
    <d v="2026-05-03T00:00:00"/>
    <d v="2026-05-22T00:00:00"/>
    <s v="40779"/>
    <n v="100"/>
    <n v="14"/>
    <n v="14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75425"/>
    <s v="48M MTTO COMPRESOR 08"/>
    <s v="NOTI CTEC JBFI NLIQ PWF PLAN"/>
    <s v="PL"/>
    <n v="20"/>
    <d v="2026-05-03T00:00:00"/>
    <d v="2026-05-23T00:00:00"/>
    <s v="40779"/>
    <n v="100"/>
    <n v="4"/>
    <n v="4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99029"/>
    <s v="(Q) COMP 20 -CAMBIO DE ENFRIADERA"/>
    <s v="NOTI JBFI LIB. NLIQ PLAN PWF  RESA"/>
    <s v="PL"/>
    <n v="9"/>
    <d v="2026-05-09T00:00:00"/>
    <d v="2026-05-18T00:00:00"/>
    <s v="40779"/>
    <n v="100"/>
    <n v="9"/>
    <n v="9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99029"/>
    <s v="(Q) COMP 20 -CAMBIO DE ENFRIADERA"/>
    <s v="NOTI JBFI LIB. NLIQ PLAN PWF  RESA"/>
    <s v="PL"/>
    <n v="10"/>
    <d v="2026-05-09T00:00:00"/>
    <d v="2026-05-19T00:00:00"/>
    <s v="40779"/>
    <n v="100"/>
    <n v="31.5"/>
    <n v="31.5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99029"/>
    <s v="(Q) COMP 20 -CAMBIO DE ENFRIADERA"/>
    <s v="NOTI JBFI LIB. NLIQ PLAN PWF  RESA"/>
    <s v="PL"/>
    <n v="11"/>
    <d v="2026-05-09T00:00:00"/>
    <d v="2026-05-20T00:00:00"/>
    <s v="40779"/>
    <n v="100"/>
    <n v="21"/>
    <n v="21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99030"/>
    <s v="TRAB PREVIOS MTTO 6M COMP 27"/>
    <s v="NOTI CTEC JBFI NLIQ PWF  RESA PLAN"/>
    <s v="PL"/>
    <n v="14"/>
    <d v="2026-05-09T00:00:00"/>
    <d v="2026-05-23T00:00:00"/>
    <s v="40779"/>
    <n v="100"/>
    <n v="42.2"/>
    <n v="42.2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99030"/>
    <s v="TRAB PREVIOS MTTO 6M COMP 27"/>
    <s v="NOTI CTEC JBFI NLIQ PWF  RESA PLAN"/>
    <s v="PL"/>
    <n v="15"/>
    <d v="2026-05-09T00:00:00"/>
    <d v="2026-05-24T00:00:00"/>
    <s v="40779"/>
    <n v="100"/>
    <n v="15"/>
    <n v="15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99034"/>
    <s v="INST BIOMETRICO ACCESO SALA 11"/>
    <s v="NOTI CTEC JBFI NLIQ PWF  RESA PLAN"/>
    <s v="PL"/>
    <n v="15"/>
    <d v="2026-05-06T00:00:00"/>
    <d v="2026-05-21T00:00:00"/>
    <s v="40779"/>
    <n v="100"/>
    <n v="18"/>
    <n v="18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99034"/>
    <s v="INST BIOMETRICO ACCESO SALA 11"/>
    <s v="NOTI CTEC JBFI NLIQ PWF  RESA PLAN"/>
    <s v="PL"/>
    <n v="18"/>
    <d v="2026-05-06T00:00:00"/>
    <d v="2026-05-24T00:00:00"/>
    <s v="40779"/>
    <n v="100"/>
    <n v="2.5"/>
    <n v="2.5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99035"/>
    <s v="(Q) 48M MTTO COMPRESOR 08"/>
    <s v="NOTI JBFI LIB. NLIQ PLAN PWF"/>
    <s v="PL"/>
    <n v="9"/>
    <d v="2026-05-09T00:00:00"/>
    <d v="2026-05-18T00:00:00"/>
    <s v="40779"/>
    <n v="100"/>
    <n v="8"/>
    <n v="8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99035"/>
    <s v="(Q) 48M MTTO COMPRESOR 08"/>
    <s v="NOTI JBFI LIB. NLIQ PLAN PWF"/>
    <s v="PL"/>
    <n v="10"/>
    <d v="2026-05-09T00:00:00"/>
    <d v="2026-05-19T00:00:00"/>
    <s v="40779"/>
    <n v="100"/>
    <n v="34"/>
    <n v="34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99035"/>
    <s v="(Q) 48M MTTO COMPRESOR 08"/>
    <s v="NOTI JBFI LIB. NLIQ PLAN PWF"/>
    <s v="PL"/>
    <n v="11"/>
    <d v="2026-05-09T00:00:00"/>
    <d v="2026-05-20T00:00:00"/>
    <s v="40779"/>
    <n v="100"/>
    <n v="8"/>
    <n v="8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99035"/>
    <s v="(Q) 48M MTTO COMPRESOR 08"/>
    <s v="NOTI JBFI LIB. NLIQ PLAN PWF  RESA"/>
    <s v="PL"/>
    <n v="9"/>
    <d v="2026-05-09T00:00:00"/>
    <d v="2026-05-18T00:00:00"/>
    <s v="40779"/>
    <n v="100"/>
    <n v="60"/>
    <n v="60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99035"/>
    <s v="(Q) 48M MTTO COMPRESOR 08"/>
    <s v="NOTI JBFI LIB. NLIQ PLAN PWF  RESA"/>
    <s v="PL"/>
    <n v="12"/>
    <d v="2026-05-09T00:00:00"/>
    <d v="2026-05-21T00:00:00"/>
    <s v="40779"/>
    <n v="100"/>
    <n v="24"/>
    <n v="24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99035"/>
    <s v="(Q) 48M MTTO COMPRESOR 08"/>
    <s v="NOTI JBFI LIB. NLIQ PLAN PWF  RESA"/>
    <s v="PL"/>
    <n v="13"/>
    <d v="2026-05-09T00:00:00"/>
    <d v="2026-05-22T00:00:00"/>
    <s v="40779"/>
    <n v="100"/>
    <n v="57"/>
    <n v="57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99035"/>
    <s v="(Q) 48M MTTO COMPRESOR 08"/>
    <s v="NOTI JBFI LIB. NLIQ PLAN PWF  RESA"/>
    <s v="PL"/>
    <n v="14"/>
    <d v="2026-05-09T00:00:00"/>
    <d v="2026-05-23T00:00:00"/>
    <s v="40779"/>
    <n v="100"/>
    <n v="18"/>
    <n v="18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99456"/>
    <s v="Limpieza de Linea 1 de CAL"/>
    <s v="NOTI CTEC JBFI NLIQ PWF  RESA PLAN"/>
    <s v="PL"/>
    <n v="9"/>
    <d v="2026-05-09T00:00:00"/>
    <d v="2026-05-18T00:00:00"/>
    <s v="40779"/>
    <n v="100"/>
    <n v="39"/>
    <n v="39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99456"/>
    <s v="Limpieza de Linea 1 de CAL"/>
    <s v="NOTI CTEC JBFI NLIQ PWF  RESA PLAN"/>
    <s v="PL"/>
    <n v="10"/>
    <d v="2026-05-09T00:00:00"/>
    <d v="2026-05-19T00:00:00"/>
    <s v="40779"/>
    <n v="100"/>
    <n v="33.5"/>
    <n v="33.5"/>
    <x v="0"/>
  </r>
  <r>
    <s v="21.2026"/>
    <s v="08 INFR SERVIC Y SUMIN DCH"/>
    <x v="1"/>
    <s v="CHSS-SU"/>
    <s v="MANT &amp; PLANIF CENTRAL TERMICA SULFUROS"/>
    <s v="CGSTMRMM"/>
    <s v="025"/>
    <s v="Correctivo Planificado"/>
    <x v="1"/>
    <x v="1"/>
    <s v="110499456"/>
    <s v="Limpieza de Linea 1 de CAL"/>
    <s v="NOTI CTEC JBFI NLIQ PWF  RESA PLAN"/>
    <s v="PL"/>
    <n v="11"/>
    <d v="2026-05-09T00:00:00"/>
    <d v="2026-05-20T00:00:00"/>
    <s v="40779"/>
    <n v="100"/>
    <n v="36"/>
    <n v="36"/>
    <x v="0"/>
  </r>
  <r>
    <s v="21.2026"/>
    <s v="08 INFR SERVIC Y SUMIN DCH"/>
    <x v="1"/>
    <s v="CHSS-SU"/>
    <s v="MANT &amp; PLANIF CENTRAL TERMICA SULFUROS"/>
    <s v="CGSTMRMM"/>
    <s v="035"/>
    <s v="Correctivo No Planificado"/>
    <x v="1"/>
    <x v="1"/>
    <s v="110513924"/>
    <s v="BAC 1 sin protección parte móvil"/>
    <s v="NOTI CTEC JBFI NLIQ PWF  RESA"/>
    <s v="NP"/>
    <n v="0"/>
    <d v="2026-05-18T00:00:00"/>
    <d v="2026-05-18T00:00:00"/>
    <s v="#"/>
    <m/>
    <m/>
    <n v="1"/>
    <x v="1"/>
  </r>
  <r>
    <s v="21.2026"/>
    <s v="08 INFR SERVIC Y SUMIN DCH"/>
    <x v="1"/>
    <s v="CHSS-SU"/>
    <s v="MANT &amp; PLANIF CENTRAL TERMICA SULFUROS"/>
    <s v="CGSTMRMM"/>
    <s v="035"/>
    <s v="Correctivo No Planificado"/>
    <x v="1"/>
    <x v="1"/>
    <s v="110522634"/>
    <s v=" visor de aceite sucio y bajo nivel"/>
    <s v="NOTI CTEC JBFI NLIQ PWF  RESA"/>
    <s v="NP"/>
    <n v="5"/>
    <d v="2026-05-15T00:00:00"/>
    <d v="2026-05-20T00:00:00"/>
    <s v="#"/>
    <m/>
    <m/>
    <n v="1"/>
    <x v="1"/>
  </r>
  <r>
    <s v="21.2026"/>
    <s v="08 INFR SERVIC Y SUMIN DCH"/>
    <x v="1"/>
    <s v="CHSS-SU"/>
    <s v="MANT &amp; PLANIF CENTRAL TERMICA SULFUROS"/>
    <s v="CGSTMRMM"/>
    <s v="035"/>
    <s v="Correctivo No Planificado"/>
    <x v="1"/>
    <x v="1"/>
    <s v="110525041"/>
    <s v="Filtració de agua por válvula"/>
    <s v="NOTI CTEC JBFI NLIQ PWF  RESA"/>
    <s v="NP"/>
    <n v="0"/>
    <d v="2026-05-19T00:00:00"/>
    <d v="2026-05-19T00:00:00"/>
    <s v="#"/>
    <m/>
    <m/>
    <n v="3"/>
    <x v="1"/>
  </r>
  <r>
    <s v="21.2026"/>
    <s v="08 INFR SERVIC Y SUMIN DCH"/>
    <x v="1"/>
    <s v="CHSS-SU"/>
    <s v="MANT &amp; PLANIF CENTRAL TERMICA SULFUROS"/>
    <s v="CGSTMRMM"/>
    <s v="035"/>
    <s v="Correctivo No Planificado"/>
    <x v="1"/>
    <x v="1"/>
    <s v="110531565"/>
    <s v="CAMBIO  filtro aire C27 ADM SATURADO"/>
    <s v="NOTI CTEC JBFI NLIQ PWF  RESA"/>
    <s v="NP"/>
    <n v="0"/>
    <d v="2026-05-18T00:00:00"/>
    <d v="2026-05-18T00:00:00"/>
    <s v="#"/>
    <m/>
    <m/>
    <n v="5"/>
    <x v="1"/>
  </r>
  <r>
    <s v="21.2026"/>
    <s v="08 INFR SERVIC Y SUMIN DCH"/>
    <x v="1"/>
    <s v="CHSS-SU"/>
    <s v="MANT &amp; PLANIF CENTRAL TERMICA SULFUROS"/>
    <s v="CGSTMRMM"/>
    <s v="035"/>
    <s v="Correctivo No Planificado"/>
    <x v="1"/>
    <x v="1"/>
    <s v="110537056"/>
    <s v="Cambio llave de corte tubo nivel"/>
    <s v="NOTI CTEC JBFI NLIQ PWF"/>
    <s v="NP"/>
    <n v="0"/>
    <d v="2026-05-19T00:00:00"/>
    <d v="2026-05-19T00:00:00"/>
    <s v="#"/>
    <m/>
    <m/>
    <n v="4"/>
    <x v="1"/>
  </r>
  <r>
    <s v="21.2026"/>
    <s v="08 INFR SERVIC Y SUMIN DCH"/>
    <x v="1"/>
    <s v="CHSS-SU"/>
    <s v="MANT &amp; PLANIF CENTRAL TERMICA SULFUROS"/>
    <s v="CGSTMRMM"/>
    <s v="035"/>
    <s v="Correctivo No Planificado"/>
    <x v="1"/>
    <x v="1"/>
    <s v="110537056"/>
    <s v="Cambio llave de corte tubo nivel"/>
    <s v="NOTI CTEC JBFI NLIQ PWF  RESA"/>
    <s v="NP"/>
    <n v="0"/>
    <d v="2026-05-19T00:00:00"/>
    <d v="2026-05-19T00:00:00"/>
    <s v="#"/>
    <m/>
    <m/>
    <n v="1"/>
    <x v="1"/>
  </r>
  <r>
    <s v="21.2026"/>
    <s v="08 INFR SERVIC Y SUMIN DCH"/>
    <x v="1"/>
    <s v="CHSS-SU"/>
    <s v="MANT &amp; PLANIF CENTRAL TERMICA SULFUROS"/>
    <s v="CGSTMRMM"/>
    <s v="035"/>
    <s v="Correctivo No Planificado"/>
    <x v="1"/>
    <x v="1"/>
    <s v="110543322"/>
    <s v="Revision  C2: V/v venteo trabada"/>
    <s v="NOTI CTEC JBFI NLIQ PWF  RESA"/>
    <s v="NP"/>
    <n v="0"/>
    <d v="2026-05-19T00:00:00"/>
    <d v="2026-05-19T00:00:00"/>
    <s v="#"/>
    <m/>
    <m/>
    <n v="2"/>
    <x v="1"/>
  </r>
  <r>
    <s v="21.2026"/>
    <s v="08 INFR SERVIC Y SUMIN DCH"/>
    <x v="1"/>
    <s v="CHSS-SU"/>
    <s v="MANT &amp; PLANIF CENTRAL TERMICA SULFUROS"/>
    <s v="CGSTMRMM"/>
    <s v="035"/>
    <s v="Correctivo No Planificado"/>
    <x v="1"/>
    <x v="1"/>
    <s v="110543928"/>
    <s v="Revision C3 Bba ENF2 ruido y alto amp"/>
    <s v="NOTI CTEC JBFI NLIQ PWF  RESA"/>
    <s v="NP"/>
    <n v="0"/>
    <d v="2026-05-22T00:00:00"/>
    <d v="2026-05-22T00:00:00"/>
    <s v="#"/>
    <m/>
    <m/>
    <n v="5.5"/>
    <x v="1"/>
  </r>
  <r>
    <s v="21.2026"/>
    <s v="08 INFR SERVIC Y SUMIN DCH"/>
    <x v="1"/>
    <s v="CHSS-SU"/>
    <s v="MANT &amp; PLANIF CENTRAL TERMICA SULFUROS"/>
    <s v="CGSTMRMM"/>
    <s v="035"/>
    <s v="Correctivo No Planificado"/>
    <x v="1"/>
    <x v="1"/>
    <s v="110544879"/>
    <s v="Línea Despiche ciclón rota"/>
    <s v="NOTI CTEC JBFI NLIQ PWF  RESA"/>
    <s v="NP"/>
    <n v="-1"/>
    <d v="2026-05-22T00:00:00"/>
    <d v="2026-05-21T00:00:00"/>
    <s v="#"/>
    <m/>
    <m/>
    <n v="3"/>
    <x v="1"/>
  </r>
  <r>
    <s v="21.2026"/>
    <s v="08 INFR SERVIC Y SUMIN DCH"/>
    <x v="1"/>
    <s v="CHSS-SU"/>
    <s v="MANT &amp; PLANIF CENTRAL TERMICA SULFUROS"/>
    <s v="CGSTMRMM"/>
    <s v="035"/>
    <s v="Correctivo No Planificado"/>
    <x v="1"/>
    <x v="1"/>
    <s v="110547174"/>
    <s v="Habilitacion de bomba BAC 3"/>
    <s v="NOTI CTEC JBFI NLIQ PWF  RESA"/>
    <s v="NP"/>
    <n v="0"/>
    <d v="2026-05-24T00:00:00"/>
    <d v="2026-05-24T00:00:00"/>
    <s v="#"/>
    <m/>
    <m/>
    <n v="4"/>
    <x v="1"/>
  </r>
  <r>
    <s v="21.2026"/>
    <s v="08 INFR SERVIC Y SUMIN DCH"/>
    <x v="1"/>
    <s v="CHSS-SU"/>
    <s v="MANT &amp; PLANIF CENTRAL TERMICA SULFUROS"/>
    <s v="CGSTMRMM"/>
    <s v="035"/>
    <s v="Correctivo No Planificado"/>
    <x v="1"/>
    <x v="1"/>
    <s v="110547304"/>
    <s v="Filtracion de vapor en purga continua"/>
    <s v="NOTI CTEC JBFI NLIQ PWF  RESA"/>
    <s v="NP"/>
    <n v="-1"/>
    <d v="2026-05-22T00:00:00"/>
    <d v="2026-05-21T00:00:00"/>
    <s v="#"/>
    <m/>
    <m/>
    <n v="3"/>
    <x v="1"/>
  </r>
  <r>
    <s v="21.2026"/>
    <s v="08 INFR SERVIC Y SUMIN DCH"/>
    <x v="1"/>
    <s v="CHSS-SU"/>
    <s v="MANT &amp; PLANIF CENTRAL TERMICA SULFUROS"/>
    <s v="CGSTMRMM"/>
    <s v="035"/>
    <s v="Correctivo No Planificado"/>
    <x v="1"/>
    <x v="1"/>
    <s v="110549479"/>
    <s v="Lubricador automático en falla"/>
    <s v="NOTI CTEC JBFI NLIQ PWF  RESA"/>
    <s v="NP"/>
    <n v="0"/>
    <d v="2026-05-21T00:00:00"/>
    <d v="2026-05-21T00:00:00"/>
    <s v="#"/>
    <m/>
    <m/>
    <n v="0.2"/>
    <x v="1"/>
  </r>
  <r>
    <s v="21.2026"/>
    <s v="08 INFR SERVIC Y SUMIN DCH"/>
    <x v="1"/>
    <s v="CHSS-SU"/>
    <s v="MANT &amp; PLANIF CENTRAL TERMICA SULFUROS"/>
    <s v="CGSTMRMM"/>
    <s v="035"/>
    <s v="Correctivo No Planificado"/>
    <x v="1"/>
    <x v="1"/>
    <s v="110550393"/>
    <s v="filtracion por sello bba 011"/>
    <s v="NOTI CTEC JBFI NLIQ PWF  RESA"/>
    <s v="NP"/>
    <n v="-1"/>
    <d v="2026-05-22T00:00:00"/>
    <d v="2026-05-21T00:00:00"/>
    <s v="#"/>
    <m/>
    <m/>
    <n v="3"/>
    <x v="1"/>
  </r>
  <r>
    <s v="21.2026"/>
    <s v="08 INFR SERVIC Y SUMIN DCH"/>
    <x v="1"/>
    <s v="CHSS-SU"/>
    <s v="MANT &amp; PLANIF CENTRAL TERMICA SULFUROS"/>
    <s v="CGSTMRMM"/>
    <s v="035"/>
    <s v="Correctivo No Planificado"/>
    <x v="1"/>
    <x v="1"/>
    <s v="110554318"/>
    <s v="Falla lubricador automático"/>
    <s v="NOTI JBFI LIB. NLIQ PWF  RESA"/>
    <s v="NP"/>
    <n v="0"/>
    <d v="2026-05-24T00:00:00"/>
    <d v="2026-05-24T00:00:00"/>
    <s v="#"/>
    <m/>
    <m/>
    <n v="0.2"/>
    <x v="1"/>
  </r>
  <r>
    <s v="21.2026"/>
    <s v="08 INFR SERVIC Y SUMIN DCH"/>
    <x v="2"/>
    <s v="02 GRUAS INFRA DCH"/>
    <s v="MANT &amp; PLANIF CENTRAL TERMICA SULFUROS"/>
    <s v="CGSTMRMM"/>
    <s v="010"/>
    <s v="Preventivo Sistemático"/>
    <x v="1"/>
    <x v="1"/>
    <s v="110448004"/>
    <s v="MRT 4S MEC MTTO PUENTE GRUA SOPLADORES"/>
    <s v="NOTI JBFI LIB. NLIQ PLAN PWF  RESA"/>
    <s v="PL"/>
    <n v="18"/>
    <d v="2026-05-05T00:00:00"/>
    <d v="2026-05-23T00:00:00"/>
    <s v="98123"/>
    <n v="100"/>
    <n v="16.5"/>
    <n v="16.5"/>
    <x v="0"/>
  </r>
  <r>
    <s v="21.2026"/>
    <s v="08 INFR SERVIC Y SUMIN DCH"/>
    <x v="2"/>
    <s v="03 SIST. C.INCENDIO INFRA DCH"/>
    <s v="MANT &amp; PLANIF SUMINISTRO ELECTRICO"/>
    <s v="CGSSERME"/>
    <s v="010"/>
    <s v="Preventivo Sistemático"/>
    <x v="0"/>
    <x v="0"/>
    <s v="110500459"/>
    <s v="INSPECCIO SAPCI S/E SOPLADORES GIS 100KV"/>
    <s v="NOTI CTEC JBFI NLIQ PWF  RESA PLAN"/>
    <s v="PL"/>
    <n v="10"/>
    <d v="2026-05-13T00:00:00"/>
    <d v="2026-05-23T00:00:00"/>
    <s v="98157"/>
    <n v="100"/>
    <n v="3"/>
    <n v="3"/>
    <x v="0"/>
  </r>
  <r>
    <s v="21.2026"/>
    <s v="08 INFR SERVIC Y SUMIN DCH"/>
    <x v="2"/>
    <s v="03 SIST. C.INCENDIO INFRA DCH"/>
    <s v="MANT &amp; PLANIF SUMINISTRO ELECTRICO"/>
    <s v="CGSSERME"/>
    <s v="020"/>
    <s v="Preventivo Predictivo"/>
    <x v="0"/>
    <x v="0"/>
    <s v="110495171"/>
    <s v="INSPECCIÓN SAPCI S/E K1 SALA CONTROL"/>
    <s v="NOTI CTEC JBFI NLIQ PWF PLAN"/>
    <s v="PL"/>
    <n v="8"/>
    <d v="2026-05-13T00:00:00"/>
    <d v="2026-05-21T00:00:00"/>
    <s v="98157"/>
    <n v="100"/>
    <n v="3"/>
    <n v="3"/>
    <x v="0"/>
  </r>
  <r>
    <s v="21.2026"/>
    <s v="08 INFR SERVIC Y SUMIN DCH"/>
    <x v="2"/>
    <s v="03 SIST. C.INCENDIO INFRA DCH"/>
    <s v="MANT &amp; PLANIF SUMINISTRO ELECTRICO"/>
    <s v="CGSSERME"/>
    <s v="020"/>
    <s v="Preventivo Predictivo"/>
    <x v="0"/>
    <x v="0"/>
    <s v="110495172"/>
    <s v="INSPECCIÓN SAPCI S/E TCHITACK GIS 13,8KV"/>
    <s v="NOTI CTEC JBFI NLIQ PWF  RESA PLAN"/>
    <s v="PL"/>
    <n v="9"/>
    <d v="2026-05-13T00:00:00"/>
    <d v="2026-05-22T00:00:00"/>
    <s v="98157"/>
    <n v="100"/>
    <n v="3"/>
    <n v="3"/>
    <x v="0"/>
  </r>
  <r>
    <s v="21.2026"/>
    <s v="08 INFR SERVIC Y SUMIN DCH"/>
    <x v="2"/>
    <s v="05 RESPAL. E.ELEC. INFRA DCH"/>
    <s v="MANT &amp; PLANIF SUMINISTRO ELECTRICO"/>
    <s v="CGSSERME"/>
    <s v="025"/>
    <s v="Correctivo Planificado"/>
    <x v="0"/>
    <x v="0"/>
    <s v="110440236"/>
    <s v="STN CAMBIO EXTINTOR UPS N°2 SCADA S/E A"/>
    <s v="NOTI CTEC JBFI NLIQ PWF  RESA PLAN"/>
    <s v="PL"/>
    <n v="25"/>
    <d v="2026-04-25T00:00:00"/>
    <d v="2026-05-20T00:00:00"/>
    <s v="98949"/>
    <n v="100"/>
    <n v="2"/>
    <n v="2"/>
    <x v="0"/>
  </r>
  <r>
    <s v="21.2026"/>
    <s v="08 INFR SERVIC Y SUMIN DCH"/>
    <x v="2"/>
    <s v="05 RESPAL. E.ELEC. INFRA DCH"/>
    <s v="MANT &amp; PLANIF SUMINISTRO ELECTRICO"/>
    <s v="CGSSERME"/>
    <s v="025"/>
    <s v="Correctivo Planificado"/>
    <x v="0"/>
    <x v="0"/>
    <s v="110440238"/>
    <s v="STN CAMBIO EXTINTOR UPS N°1 SCADA S/E A"/>
    <s v="NOTI CTEC JBFI NLIQ PWF  RESA PLAN"/>
    <s v="PL"/>
    <n v="25"/>
    <d v="2026-04-25T00:00:00"/>
    <d v="2026-05-20T00:00:00"/>
    <s v="98949"/>
    <n v="100"/>
    <n v="2"/>
    <n v="2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21.2026"/>
    <s v="08 INFR SERVIC Y SUMIN DCH"/>
    <x v="0"/>
    <s v="CDEE"/>
    <x v="0"/>
    <x v="0"/>
    <s v="010"/>
    <s v="Preventivo Sistemático"/>
    <s v="110443469"/>
    <s v="INSPECCION MT CHANCADO PRIMARIO PTMP"/>
    <s v="CTEC NOTI DOCU IMOP JBFI KKMP PREC PROG"/>
    <s v="PL"/>
    <s v="MANT &amp; PLANIF SUMINISTRO ELECTRICO"/>
    <s v="CGSSERME"/>
    <n v="100"/>
    <n v="1"/>
    <n v="1"/>
    <n v="1"/>
    <n v="1"/>
    <x v="0"/>
  </r>
  <r>
    <s v="21.2026"/>
    <s v="08 INFR SERVIC Y SUMIN DCH"/>
    <x v="0"/>
    <s v="CDEE"/>
    <x v="0"/>
    <x v="0"/>
    <s v="020"/>
    <s v="Preventivo Predictivo"/>
    <s v="110462292"/>
    <s v="Insp. 4M S/E Dist. 13.8 kV Mina"/>
    <s v="LIB. DOCU IMOP KKMP PREC PROG TRAT"/>
    <s v="PL"/>
    <s v="MANT &amp; PLANIF SUMINISTRO ELECTRICO"/>
    <s v="CGSSERME"/>
    <n v="0"/>
    <n v="0"/>
    <n v="1"/>
    <n v="0"/>
    <n v="1"/>
    <x v="1"/>
  </r>
  <r>
    <s v="21.2026"/>
    <s v="08 INFR SERVIC Y SUMIN DCH"/>
    <x v="0"/>
    <s v="CHSS-SE"/>
    <x v="0"/>
    <x v="0"/>
    <s v="010"/>
    <s v="Preventivo Sistemático"/>
    <s v="110443466"/>
    <s v="STN LAVADO DE AISLADORES LINEA 22"/>
    <s v="LIB. IMOP KKMP PREC TRAT ARPG"/>
    <s v="PL"/>
    <s v="MANT &amp; PLANIF SUMINISTRO ELECTRICO"/>
    <s v="CGSSERME"/>
    <n v="0"/>
    <n v="0"/>
    <n v="1"/>
    <n v="0"/>
    <n v="2"/>
    <x v="1"/>
  </r>
  <r>
    <s v="21.2026"/>
    <s v="08 INFR SERVIC Y SUMIN DCH"/>
    <x v="0"/>
    <s v="CHSS-SE"/>
    <x v="0"/>
    <x v="0"/>
    <s v="010"/>
    <s v="Preventivo Sistemático"/>
    <s v="109753335"/>
    <s v="LAVADO DE AISLADORES S/E A"/>
    <s v="LIB. IMOP KKMP PREC TRAT"/>
    <s v="PL"/>
    <s v="MANT &amp; PLANIF SUMINISTRO ELECTRICO"/>
    <s v="CGSSERME"/>
    <n v="0"/>
    <n v="0"/>
    <n v="1"/>
    <n v="0"/>
    <n v="1"/>
    <x v="1"/>
  </r>
  <r>
    <s v="21.2026"/>
    <s v="08 INFR SERVIC Y SUMIN DCH"/>
    <x v="0"/>
    <s v="CHSS-SE"/>
    <x v="0"/>
    <x v="0"/>
    <s v="020"/>
    <s v="Preventivo Predictivo"/>
    <s v="110494994"/>
    <s v="TOMA MUESTRA ACEITE S/E TCHITACK TR1"/>
    <s v="CTEC NOTI DOCU IMOP JBFI KKMP PREC PROG"/>
    <s v="PL"/>
    <s v="MANT &amp; PLANIF SUMINISTRO ELECTRICO"/>
    <s v="CGSSERME"/>
    <n v="100"/>
    <n v="1"/>
    <n v="1"/>
    <n v="4"/>
    <n v="4"/>
    <x v="0"/>
  </r>
  <r>
    <s v="21.2026"/>
    <s v="08 INFR SERVIC Y SUMIN DCH"/>
    <x v="0"/>
    <s v="CHSS-SE"/>
    <x v="0"/>
    <x v="0"/>
    <s v="020"/>
    <s v="Preventivo Predictivo"/>
    <s v="110486153"/>
    <s v="TOMA MUESTRA ACEITE S/E TCHITACK TR2"/>
    <s v="CTEC NOTI DOCU IMOP JBFI KKMP PREC PROG"/>
    <s v="PL"/>
    <s v="MANT &amp; PLANIF SUMINISTRO ELECTRICO"/>
    <s v="CGSSERME"/>
    <n v="100"/>
    <n v="1"/>
    <n v="1"/>
    <n v="4"/>
    <n v="4"/>
    <x v="0"/>
  </r>
  <r>
    <s v="21.2026"/>
    <s v="08 INFR SERVIC Y SUMIN DCH"/>
    <x v="0"/>
    <s v="CHSS-SE"/>
    <x v="0"/>
    <x v="0"/>
    <s v="020"/>
    <s v="Preventivo Predictivo"/>
    <s v="110443695"/>
    <s v="MEDICIÓN DESCARGAS PARCIALES ATR2"/>
    <s v="CTEC NOTI DOCU IMOP JBFI KKMP PREC PROG"/>
    <s v="PL"/>
    <s v="MANT &amp; PLANIF SUMINISTRO ELECTRICO"/>
    <s v="CGSSERME"/>
    <n v="100"/>
    <n v="1"/>
    <n v="1"/>
    <n v="1"/>
    <n v="1"/>
    <x v="0"/>
  </r>
  <r>
    <s v="21.2026"/>
    <s v="08 INFR SERVIC Y SUMIN DCH"/>
    <x v="0"/>
    <s v="CHSS-SE"/>
    <x v="0"/>
    <x v="0"/>
    <s v="020"/>
    <s v="Preventivo Predictivo"/>
    <s v="110427496"/>
    <s v="MED.DESCARGAS PARCIALES S/E TCHITACk TR2"/>
    <s v="CTEC NOTI DOCU IMOP JBFI KKMP PREC PROG"/>
    <s v="PL"/>
    <s v="MANT &amp; PLANIF SUMINISTRO ELECTRICO"/>
    <s v="CGSSERME"/>
    <n v="100"/>
    <n v="1"/>
    <n v="1"/>
    <n v="1"/>
    <n v="1"/>
    <x v="0"/>
  </r>
  <r>
    <s v="21.2026"/>
    <s v="08 INFR SERVIC Y SUMIN DCH"/>
    <x v="1"/>
    <s v="CHSS-SU"/>
    <x v="1"/>
    <x v="1"/>
    <s v="010"/>
    <s v="Preventivo Sistemático"/>
    <s v="110500458"/>
    <s v="MRT 4S MEC INSP SOPLADOR N°7"/>
    <s v="CTEC NOTI DOCU IMOP JBFI KKMP PREC PROG"/>
    <s v="PL"/>
    <s v="MANT &amp; PLANIF CENTRAL TERMICA SULFUROS"/>
    <s v="CGSTMRMM"/>
    <n v="100"/>
    <n v="1"/>
    <n v="1"/>
    <n v="25"/>
    <n v="25"/>
    <x v="0"/>
  </r>
  <r>
    <s v="21.2026"/>
    <s v="08 INFR SERVIC Y SUMIN DCH"/>
    <x v="1"/>
    <s v="CHSS-SU"/>
    <x v="1"/>
    <x v="1"/>
    <s v="010"/>
    <s v="Preventivo Sistemático"/>
    <s v="110468787"/>
    <s v="MRT 3S MEC MTTO ANÁLISIS VIBRACIONES PHC"/>
    <s v="CTEC NOTI DOCU IMOP JBFI KKMP PREC PROG"/>
    <s v="PL"/>
    <s v="MANT &amp; PLANIF CENTRAL TERMICA SULFUROS"/>
    <s v="CGSTMRMM"/>
    <n v="100"/>
    <n v="1"/>
    <n v="1"/>
    <n v="3"/>
    <n v="3"/>
    <x v="0"/>
  </r>
  <r>
    <s v="21.2026"/>
    <s v="08 INFR SERVIC Y SUMIN DCH"/>
    <x v="1"/>
    <s v="CHSS-SU"/>
    <x v="1"/>
    <x v="1"/>
    <s v="010"/>
    <s v="Preventivo Sistemático"/>
    <s v="110468786"/>
    <s v="MRT 3S MEC MTTO ANÁLISIS VIBRACIONES CTR"/>
    <s v="CTEC NOTI DOCU IMOP JBFI KKMP PREC PROG"/>
    <s v="PL"/>
    <s v="MANT &amp; PLANIF CENTRAL TERMICA SULFUROS"/>
    <s v="CGSTMRMM"/>
    <n v="100"/>
    <n v="1"/>
    <n v="1"/>
    <n v="3"/>
    <n v="3"/>
    <x v="0"/>
  </r>
  <r>
    <s v="21.2026"/>
    <s v="08 INFR SERVIC Y SUMIN DCH"/>
    <x v="1"/>
    <s v="CHSS-SU"/>
    <x v="1"/>
    <x v="1"/>
    <s v="010"/>
    <s v="Preventivo Sistemático"/>
    <s v="110448911"/>
    <s v="MRT 1S LIMPIEZA FILTRO DE MANGA"/>
    <s v="CTEC NOTI DOCU IMOP JBFI KKMP PREC PROG"/>
    <s v="PL"/>
    <s v="MANT &amp; PLANIF CENTRAL TERMICA SULFUROS"/>
    <s v="CGSTMRMM"/>
    <n v="100"/>
    <n v="1"/>
    <n v="1"/>
    <n v="4"/>
    <n v="4"/>
    <x v="0"/>
  </r>
  <r>
    <s v="21.2026"/>
    <s v="08 INFR SERVIC Y SUMIN DCH"/>
    <x v="1"/>
    <s v="CHSS-SU"/>
    <x v="1"/>
    <x v="1"/>
    <s v="010"/>
    <s v="Preventivo Sistemático"/>
    <s v="110448909"/>
    <s v="MRT 1S MTTO CORREA 129"/>
    <s v="CTEC NOTI DOCU IMOP JBFI KKMP PREC PROG"/>
    <s v="PL"/>
    <s v="MANT &amp; PLANIF CENTRAL TERMICA SULFUROS"/>
    <s v="CGSTMRMM"/>
    <n v="100"/>
    <n v="1"/>
    <n v="1"/>
    <n v="7"/>
    <n v="7"/>
    <x v="0"/>
  </r>
  <r>
    <s v="21.2026"/>
    <s v="08 INFR SERVIC Y SUMIN DCH"/>
    <x v="1"/>
    <s v="CHSS-SU"/>
    <x v="1"/>
    <x v="1"/>
    <s v="010"/>
    <s v="Preventivo Sistemático"/>
    <s v="110448908"/>
    <s v="MRT 1S MTTO CORREA 132"/>
    <s v="CTEC NOTI DOCU IMOP JBFI KKMP PREC PROG"/>
    <s v="PL"/>
    <s v="MANT &amp; PLANIF CENTRAL TERMICA SULFUROS"/>
    <s v="CGSTMRMM"/>
    <n v="100"/>
    <n v="1"/>
    <n v="1"/>
    <n v="7"/>
    <n v="7"/>
    <x v="0"/>
  </r>
  <r>
    <s v="21.2026"/>
    <s v="08 INFR SERVIC Y SUMIN DCH"/>
    <x v="1"/>
    <s v="CHSS-SU"/>
    <x v="1"/>
    <x v="1"/>
    <s v="010"/>
    <s v="Preventivo Sistemático"/>
    <s v="110448905"/>
    <s v="MRT 1S MEC LIMPIEZA AEROVENTILADORES"/>
    <s v="CTEC NOTI DOCU IMOP JBFI KKMP PREC PROG"/>
    <s v="PL"/>
    <s v="MANT &amp; PLANIF CENTRAL TERMICA SULFUROS"/>
    <s v="CGSTMRMM"/>
    <n v="100"/>
    <n v="1"/>
    <n v="1"/>
    <n v="5"/>
    <n v="5"/>
    <x v="0"/>
  </r>
  <r>
    <s v="21.2026"/>
    <s v="08 INFR SERVIC Y SUMIN DCH"/>
    <x v="1"/>
    <s v="CHSS-SU"/>
    <x v="1"/>
    <x v="1"/>
    <s v="010"/>
    <s v="Preventivo Sistemático"/>
    <s v="110448903"/>
    <s v="MRT 1S MEC LIMPIEZA MOLINO TORRE"/>
    <s v="CTEC NOTI DOCU IMOP JBFI KKMP PREC PROG"/>
    <s v="PL"/>
    <s v="MANT &amp; PLANIF CENTRAL TERMICA SULFUROS"/>
    <s v="CGSTMRMM"/>
    <n v="100"/>
    <n v="1"/>
    <n v="1"/>
    <n v="13"/>
    <n v="13"/>
    <x v="0"/>
  </r>
  <r>
    <s v="21.2026"/>
    <s v="08 INFR SERVIC Y SUMIN DCH"/>
    <x v="1"/>
    <s v="CHSS-SU"/>
    <x v="1"/>
    <x v="1"/>
    <s v="010"/>
    <s v="Preventivo Sistemático"/>
    <s v="110448902"/>
    <s v="MRT 1S MEC LIMPIEZA MOLINO HARDINGE 2"/>
    <s v="CTEC NOTI DOCU IMOP JBFI KKMP PREC PROG"/>
    <s v="PL"/>
    <s v="MANT &amp; PLANIF CENTRAL TERMICA SULFUROS"/>
    <s v="CGSTMRMM"/>
    <n v="100"/>
    <n v="1"/>
    <n v="1"/>
    <n v="14"/>
    <n v="14"/>
    <x v="0"/>
  </r>
  <r>
    <s v="21.2026"/>
    <s v="08 INFR SERVIC Y SUMIN DCH"/>
    <x v="1"/>
    <s v="CHSS-SU"/>
    <x v="1"/>
    <x v="1"/>
    <s v="010"/>
    <s v="Preventivo Sistemático"/>
    <s v="110448901"/>
    <s v="MRT 1S MEC LIMPIEZA MOLINO HARDINGE 1"/>
    <s v="CTEC NOTI DOCU IMOP JBFI KKMP PREC PROG"/>
    <s v="PL"/>
    <s v="MANT &amp; PLANIF CENTRAL TERMICA SULFUROS"/>
    <s v="CGSTMRMM"/>
    <n v="100"/>
    <n v="1"/>
    <n v="1"/>
    <n v="14"/>
    <n v="14"/>
    <x v="0"/>
  </r>
  <r>
    <s v="21.2026"/>
    <s v="08 INFR SERVIC Y SUMIN DCH"/>
    <x v="1"/>
    <s v="CHSS-SU"/>
    <x v="1"/>
    <x v="1"/>
    <s v="010"/>
    <s v="Preventivo Sistemático"/>
    <s v="110448001"/>
    <s v="MRT 4S MTTO MEC BOMBA 3C"/>
    <s v="CTEC NOTI DOCU IMOP JBFI KKMP PREC PROG"/>
    <s v="PL"/>
    <s v="MANT &amp; PLANIF CENTRAL TERMICA SULFUROS"/>
    <s v="CGSTMRMM"/>
    <n v="100"/>
    <n v="1"/>
    <n v="1"/>
    <n v="14"/>
    <n v="14"/>
    <x v="0"/>
  </r>
  <r>
    <s v="21.2026"/>
    <s v="08 INFR SERVIC Y SUMIN DCH"/>
    <x v="1"/>
    <s v="CHSS-SU"/>
    <x v="1"/>
    <x v="1"/>
    <s v="010"/>
    <s v="Preventivo Sistemático"/>
    <s v="110448000"/>
    <s v="MRT 4S MTTO MEC BOMBA AURORA"/>
    <s v="CTEC NOTI DOCU IMOP JBFI KKMP PREC PROG"/>
    <s v="PL"/>
    <s v="MANT &amp; PLANIF CENTRAL TERMICA SULFUROS"/>
    <s v="CGSTMRMM"/>
    <n v="100"/>
    <n v="1"/>
    <n v="1"/>
    <n v="14"/>
    <n v="14"/>
    <x v="0"/>
  </r>
  <r>
    <s v="21.2026"/>
    <s v="08 INFR SERVIC Y SUMIN DCH"/>
    <x v="1"/>
    <s v="CHSS-SU"/>
    <x v="1"/>
    <x v="1"/>
    <s v="010"/>
    <s v="Preventivo Sistemático"/>
    <s v="110447925"/>
    <s v="INSPECCION SALA ELECTRICA"/>
    <s v="CTEC NOTI DOCU IMOP JBFI KKMP PREC PROG"/>
    <s v="PL"/>
    <s v="MANT &amp; PLANIF CENTRAL TERMICA SULFUROS"/>
    <s v="CGSTMRMM"/>
    <n v="100"/>
    <n v="1"/>
    <n v="1"/>
    <n v="1"/>
    <n v="1"/>
    <x v="0"/>
  </r>
  <r>
    <s v="21.2026"/>
    <s v="08 INFR SERVIC Y SUMIN DCH"/>
    <x v="1"/>
    <s v="CHSS-SU"/>
    <x v="1"/>
    <x v="1"/>
    <s v="010"/>
    <s v="Preventivo Sistemático"/>
    <s v="110432889"/>
    <s v="MRT 4S MEC TOMA MUESTRA ACEITE S21"/>
    <s v="CTEC NOTI DOCU IMOP JBFI KKMP PREC PROG"/>
    <s v="PL"/>
    <s v="MANT &amp; PLANIF CENTRAL TERMICA SULFUROS"/>
    <s v="CGSTMRMM"/>
    <n v="100"/>
    <n v="1"/>
    <n v="1"/>
    <n v="10"/>
    <n v="10"/>
    <x v="0"/>
  </r>
  <r>
    <s v="21.2026"/>
    <s v="08 INFR SERVIC Y SUMIN DCH"/>
    <x v="2"/>
    <s v="02 GRUAS INFRA DCH"/>
    <x v="1"/>
    <x v="1"/>
    <s v="010"/>
    <s v="Preventivo Sistemático"/>
    <s v="110462343"/>
    <s v="MRT 12S MEC MTTO PUENTE GRUA NAVE COMP"/>
    <s v="LIB. IMOP KKMP PREC PROG TRAT"/>
    <s v="PL"/>
    <s v="MANT &amp; PLANIF CENTRAL TERMICA SULFUROS"/>
    <s v="CGSTMRMM"/>
    <n v="0"/>
    <n v="0"/>
    <n v="1"/>
    <n v="0"/>
    <n v="9"/>
    <x v="1"/>
  </r>
  <r>
    <s v="21.2026"/>
    <s v="08 INFR SERVIC Y SUMIN DCH"/>
    <x v="2"/>
    <s v="02 GRUAS INFRA DCH"/>
    <x v="1"/>
    <x v="1"/>
    <s v="010"/>
    <s v="Preventivo Sistemático"/>
    <s v="110448004"/>
    <s v="MRT 4S MEC MTTO PUENTE GRUA SOPLADORES"/>
    <s v="LIB. NOTI IMOP JBFI KKMP PREC PROG TBTR"/>
    <s v="PL"/>
    <s v="MANT &amp; PLANIF CENTRAL TERMICA SULFUROS"/>
    <s v="CGSTMRMM"/>
    <n v="100"/>
    <n v="1"/>
    <n v="1"/>
    <n v="9"/>
    <n v="9"/>
    <x v="0"/>
  </r>
  <r>
    <s v="21.2026"/>
    <s v="08 INFR SERVIC Y SUMIN DCH"/>
    <x v="2"/>
    <s v="02 GRUAS INFRA DCH"/>
    <x v="1"/>
    <x v="1"/>
    <s v="010"/>
    <s v="Preventivo Sistemático"/>
    <s v="110436792"/>
    <s v="MRT 16S MEC MTTO PUENTE GRUA SALA COMP"/>
    <s v="CTEC NOTI DOCU IMOP JBFI KKMP PREC PROG"/>
    <s v="PL"/>
    <s v="MANT &amp; PLANIF CENTRAL TERMICA SULFUROS"/>
    <s v="CGSTMRMM"/>
    <n v="100"/>
    <n v="1"/>
    <n v="1"/>
    <n v="9"/>
    <n v="9"/>
    <x v="0"/>
  </r>
  <r>
    <s v="21.2026"/>
    <s v="08 INFR SERVIC Y SUMIN DCH"/>
    <x v="2"/>
    <s v="02 GRUAS INFRA DCH"/>
    <x v="2"/>
    <x v="2"/>
    <s v="010"/>
    <s v="Preventivo Sistemático"/>
    <s v="110464277"/>
    <s v="MRT 4S MEC MTTO PUENTE GRUA"/>
    <s v="ABIE FENA IMOP KKMP PREC ENET"/>
    <s v="PL"/>
    <s v="SERVICIO INTERNO MAESTRANZA"/>
    <s v="CGSSTM02"/>
    <n v="0"/>
    <n v="0"/>
    <n v="1"/>
    <n v="0"/>
    <n v="9"/>
    <x v="1"/>
  </r>
  <r>
    <s v="21.2026"/>
    <s v="08 INFR SERVIC Y SUMIN DCH"/>
    <x v="2"/>
    <s v="03 SIST. C.INCENDIO INFRA DCH"/>
    <x v="0"/>
    <x v="0"/>
    <s v="010"/>
    <s v="Preventivo Sistemático"/>
    <s v="110500459"/>
    <s v="INSPECCIO SAPCI S/E SOPLADORES GIS 100KV"/>
    <s v="CTEC NOTI DOCU IMOP JBFI KKMP PREC PROG"/>
    <s v="PL"/>
    <s v="MANT &amp; PLANIF SUMINISTRO ELECTRICO"/>
    <s v="CGSSERME"/>
    <n v="100"/>
    <n v="1"/>
    <n v="1"/>
    <n v="1"/>
    <n v="1"/>
    <x v="0"/>
  </r>
  <r>
    <s v="21.2026"/>
    <s v="08 INFR SERVIC Y SUMIN DCH"/>
    <x v="2"/>
    <s v="03 SIST. C.INCENDIO INFRA DCH"/>
    <x v="0"/>
    <x v="0"/>
    <s v="020"/>
    <s v="Preventivo Predictivo"/>
    <s v="110495172"/>
    <s v="INSPECCIÓN SAPCI S/E TCHITACK GIS 13,8KV"/>
    <s v="CTEC NOTI DOCU IMOP JBFI KKMP PREC PROG"/>
    <s v="PL"/>
    <s v="MANT &amp; PLANIF SUMINISTRO ELECTRICO"/>
    <s v="CGSSERME"/>
    <n v="100"/>
    <n v="1"/>
    <n v="1"/>
    <n v="1"/>
    <n v="1"/>
    <x v="0"/>
  </r>
  <r>
    <s v="21.2026"/>
    <s v="08 INFR SERVIC Y SUMIN DCH"/>
    <x v="2"/>
    <s v="03 SIST. C.INCENDIO INFRA DCH"/>
    <x v="0"/>
    <x v="0"/>
    <s v="020"/>
    <s v="Preventivo Predictivo"/>
    <s v="110495171"/>
    <s v="INSPECCIÓN SAPCI S/E K1 SALA CONTROL"/>
    <s v="CTEC NOTI DOCU IMOP JBFI KKMP PREC PROG"/>
    <s v="PL"/>
    <s v="MANT &amp; PLANIF SUMINISTRO ELECTRICO"/>
    <s v="CGSSERME"/>
    <n v="100"/>
    <n v="1"/>
    <n v="1"/>
    <n v="1"/>
    <n v="1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x v="0"/>
    <s v="21.2026"/>
    <s v="08 INFR SERVIC Y SUMIN DCH"/>
    <x v="0"/>
    <s v="CDEE"/>
    <s v="MANT &amp; PLANIF SUMINISTRO ELECTRICO"/>
    <s v="CGSSERME"/>
    <s v="Correctivo Planificado"/>
    <s v="025"/>
    <s v="110329599"/>
    <s v="STN REP. CAJA CONEX. ALUMB. PATIO S/E A"/>
    <s v="PL"/>
    <s v="NOTI CTEC JBFI NLIQ PWF  RESA PLAN"/>
    <n v="100"/>
    <n v="1"/>
    <n v="1"/>
    <x v="0"/>
  </r>
  <r>
    <x v="0"/>
    <x v="0"/>
    <s v="21.2026"/>
    <s v="08 INFR SERVIC Y SUMIN DCH"/>
    <x v="0"/>
    <s v="CDEE"/>
    <s v="MANT &amp; PLANIF SUMINISTRO ELECTRICO"/>
    <s v="CGSSERME"/>
    <s v="Correctivo Planificado"/>
    <s v="025"/>
    <s v="110475282"/>
    <s v="STN NORM TABLEROS Y CAMBIO AP CASCO HIST"/>
    <s v="PL"/>
    <s v="NOTP CTEC NLIQ PLAN"/>
    <n v="100"/>
    <n v="1"/>
    <n v="1"/>
    <x v="0"/>
  </r>
  <r>
    <x v="0"/>
    <x v="0"/>
    <s v="21.2026"/>
    <s v="08 INFR SERVIC Y SUMIN DCH"/>
    <x v="0"/>
    <s v="CDEE"/>
    <s v="MANT &amp; PLANIF SUMINISTRO ELECTRICO"/>
    <s v="CGSSERME"/>
    <s v="Correctivo Planificado"/>
    <s v="025"/>
    <s v="110504750"/>
    <s v="STN INSP PEDESTRE LINEA ENC TCHITACK"/>
    <s v="PL"/>
    <s v="NOTI JBFI LIB. NLIQ PLAN PWF"/>
    <n v="100"/>
    <n v="1"/>
    <n v="1"/>
    <x v="0"/>
  </r>
  <r>
    <x v="0"/>
    <x v="0"/>
    <s v="21.2026"/>
    <s v="08 INFR SERVIC Y SUMIN DCH"/>
    <x v="0"/>
    <s v="CDEE"/>
    <s v="MANT &amp; PLANIF SUMINISTRO ELECTRICO"/>
    <s v="CGSSERME"/>
    <s v="Preventivo Sistemático"/>
    <s v="010"/>
    <s v="109124261"/>
    <s v="LAVADO DE AISLADORES LINEA 12"/>
    <s v="PL"/>
    <s v="CTEC INBO NLIQ PLAN"/>
    <n v="0"/>
    <n v="0"/>
    <n v="1"/>
    <x v="1"/>
  </r>
  <r>
    <x v="0"/>
    <x v="0"/>
    <s v="21.2026"/>
    <s v="08 INFR SERVIC Y SUMIN DCH"/>
    <x v="0"/>
    <s v="CHSS-SE"/>
    <s v="MANT &amp; PLANIF SUMINISTRO ELECTRICO"/>
    <s v="CGSSERME"/>
    <s v="Correctivo Planificado"/>
    <s v="025"/>
    <s v="110325637"/>
    <s v="PRO - Lvtmto Printouts Tchitack 220kV"/>
    <s v="PL"/>
    <s v="NOTI CTEC JBFI NLIQ PWF PLAN"/>
    <n v="100"/>
    <n v="1"/>
    <n v="1"/>
    <x v="0"/>
  </r>
  <r>
    <x v="0"/>
    <x v="0"/>
    <s v="21.2026"/>
    <s v="08 INFR SERVIC Y SUMIN DCH"/>
    <x v="0"/>
    <s v="CHSS-SE"/>
    <s v="MANT &amp; PLANIF SUMINISTRO ELECTRICO"/>
    <s v="CGSSERME"/>
    <s v="Correctivo Planificado"/>
    <s v="025"/>
    <s v="110413484"/>
    <s v="INSP ALIMENTADOR 1 VENTILACIÓN INYECCIÓn"/>
    <s v="PL"/>
    <s v="NOTI CTEC JBFI NLIQ PWF PLAN"/>
    <n v="100"/>
    <n v="1"/>
    <n v="1"/>
    <x v="0"/>
  </r>
  <r>
    <x v="0"/>
    <x v="0"/>
    <s v="21.2026"/>
    <s v="08 INFR SERVIC Y SUMIN DCH"/>
    <x v="0"/>
    <s v="CHSS-SE"/>
    <s v="MANT &amp; PLANIF SUMINISTRO ELECTRICO"/>
    <s v="CGSSERME"/>
    <s v="Correctivo Planificado"/>
    <s v="025"/>
    <s v="110522037"/>
    <s v="Cambiar silica gel TR15 sub/est A"/>
    <s v="PL"/>
    <s v="NOTI CTEC JBFI NLIQ PWF PLAN"/>
    <n v="100"/>
    <n v="1"/>
    <n v="1"/>
    <x v="0"/>
  </r>
  <r>
    <x v="0"/>
    <x v="0"/>
    <s v="21.2026"/>
    <s v="08 INFR SERVIC Y SUMIN DCH"/>
    <x v="0"/>
    <s v="CHSS-SE"/>
    <s v="MANT &amp; PLANIF SUMINISTRO ELECTRICO"/>
    <s v="CGSSERME"/>
    <s v="Correctivo Planificado"/>
    <s v="025"/>
    <s v="110522038"/>
    <s v="cambio silica gel TR quinto molino"/>
    <s v="PL"/>
    <s v="NOTI CTEC JBFI NLIQ PWF PLAN"/>
    <n v="100"/>
    <n v="1"/>
    <n v="1"/>
    <x v="0"/>
  </r>
  <r>
    <x v="0"/>
    <x v="0"/>
    <s v="21.2026"/>
    <s v="08 INFR SERVIC Y SUMIN DCH"/>
    <x v="0"/>
    <s v="CHSS-SE"/>
    <s v="MANT &amp; PLANIF SUMINISTRO ELECTRICO"/>
    <s v="CGSSERME"/>
    <s v="Preventivo Predictivo"/>
    <s v="020"/>
    <s v="110447767"/>
    <s v="MED.DESCARGA PARC.S/E TCHITACK TR AUX.1"/>
    <s v="PL"/>
    <s v="NOTI CTEC JBFI NLIQ PWF PLAN"/>
    <n v="100"/>
    <n v="1"/>
    <n v="1"/>
    <x v="0"/>
  </r>
  <r>
    <x v="0"/>
    <x v="0"/>
    <s v="21.2026"/>
    <s v="08 INFR SERVIC Y SUMIN DCH"/>
    <x v="0"/>
    <s v="CHSS-SE"/>
    <s v="MANT &amp; PLANIF SUMINISTRO ELECTRICO"/>
    <s v="CGSSERME"/>
    <s v="Preventivo Predictivo"/>
    <s v="020"/>
    <s v="110447768"/>
    <s v="MED.DESCARGA PARC.S/E TCHITACK TR AUX.2"/>
    <s v="PL"/>
    <s v="NOTI CTEC JBFI NLIQ PWF PLAN"/>
    <n v="100"/>
    <n v="1"/>
    <n v="1"/>
    <x v="0"/>
  </r>
  <r>
    <x v="0"/>
    <x v="0"/>
    <s v="21.2026"/>
    <s v="08 INFR SERVIC Y SUMIN DCH"/>
    <x v="0"/>
    <s v="CHSS-SE"/>
    <s v="MANT &amp; PLANIF SUMINISTRO ELECTRICO"/>
    <s v="CGSSERME"/>
    <s v="Preventivo Predictivo"/>
    <s v="020"/>
    <s v="110468802"/>
    <s v="INSPECCION ALIMENTADOR VENTILACIÓN EXTRA"/>
    <s v="PL"/>
    <s v="NOTI CTEC JBFI NLIQ PWF PLAN"/>
    <n v="100"/>
    <n v="1"/>
    <n v="1"/>
    <x v="0"/>
  </r>
  <r>
    <x v="0"/>
    <x v="0"/>
    <s v="21.2026"/>
    <s v="08 INFR SERVIC Y SUMIN DCH"/>
    <x v="0"/>
    <s v="CHSS-SE"/>
    <s v="MANT &amp; PLANIF SUMINISTRO ELECTRICO"/>
    <s v="CGSSERME"/>
    <s v="Preventivo Sistemático"/>
    <s v="010"/>
    <s v="109151319"/>
    <s v="Mant. Distrib. 13,8 Kv  Trafo 2B  S/E 10"/>
    <s v="PL"/>
    <s v="LIB. NLIQ PLAN"/>
    <n v="0"/>
    <n v="0"/>
    <n v="3"/>
    <x v="1"/>
  </r>
  <r>
    <x v="0"/>
    <x v="0"/>
    <s v="21.2026"/>
    <s v="08 INFR SERVIC Y SUMIN DCH"/>
    <x v="0"/>
    <s v="CHSS-SE"/>
    <s v="MANT &amp; PLANIF SUMINISTRO ELECTRICO"/>
    <s v="CGSSERME"/>
    <s v="Preventivo Sistemático"/>
    <s v="010"/>
    <s v="110258373"/>
    <s v="MTTO. PAÑO TRANSFORMADOR 9 S/E 10A"/>
    <s v="PL"/>
    <s v="NOTI CTEC JBFI NLIQ PWF  RESA PLAN"/>
    <n v="100"/>
    <n v="1"/>
    <n v="1"/>
    <x v="0"/>
  </r>
  <r>
    <x v="0"/>
    <x v="0"/>
    <s v="21.2026"/>
    <s v="08 INFR SERVIC Y SUMIN DCH"/>
    <x v="0"/>
    <s v="CHSS-SE"/>
    <s v="MANT &amp; PLANIF SUMINISTRO ELECTRICO"/>
    <s v="CGSSERME"/>
    <s v="Preventivo Sistemático"/>
    <s v="010"/>
    <s v="110258373"/>
    <s v="MTTO. PAÑO TRANSFORMADOR 9 S/E 10A"/>
    <s v="PL"/>
    <s v="NOTI CTEC JBFI NLIQ PWF PLAN"/>
    <n v="100"/>
    <n v="19"/>
    <n v="19"/>
    <x v="0"/>
  </r>
  <r>
    <x v="0"/>
    <x v="0"/>
    <s v="21.2026"/>
    <s v="08 INFR SERVIC Y SUMIN DCH"/>
    <x v="0"/>
    <s v="CHSS-SE"/>
    <s v="MANT &amp; PLANIF SUMINISTRO ELECTRICO"/>
    <s v="CGSSERME"/>
    <s v="Preventivo Sistemático"/>
    <s v="010"/>
    <s v="110464146"/>
    <s v="Termografía 2M S/E A"/>
    <s v="PL"/>
    <s v="NOTI CTEC JBFI NLIQ PWF PLAN"/>
    <n v="100"/>
    <n v="1"/>
    <n v="1"/>
    <x v="0"/>
  </r>
  <r>
    <x v="0"/>
    <x v="0"/>
    <s v="21.2026"/>
    <s v="08 INFR SERVIC Y SUMIN DCH"/>
    <x v="0"/>
    <s v="CHSS-SE"/>
    <s v="MANT &amp; PLANIF SUMINISTRO ELECTRICO"/>
    <s v="CGSSERME"/>
    <s v="Preventivo Sistemático"/>
    <s v="010"/>
    <s v="110464147"/>
    <s v="Termografía 2M S/E Chuquicamata"/>
    <s v="PL"/>
    <s v="NOTI CTEC JBFI NLIQ PWF PLAN"/>
    <n v="100"/>
    <n v="1"/>
    <n v="1"/>
    <x v="0"/>
  </r>
  <r>
    <x v="0"/>
    <x v="0"/>
    <s v="21.2026"/>
    <s v="08 INFR SERVIC Y SUMIN DCH"/>
    <x v="0"/>
    <s v="CHSS-SE"/>
    <s v="MANT &amp; PLANIF SUMINISTRO ELECTRICO"/>
    <s v="CGSSERME"/>
    <s v="Preventivo Sistemático"/>
    <s v="010"/>
    <s v="110472936"/>
    <s v="Termografía 2M S/E 10A"/>
    <s v="PL"/>
    <s v="NOTI CTEC JBFI NLIQ PWF PLAN"/>
    <n v="100"/>
    <n v="1"/>
    <n v="1"/>
    <x v="0"/>
  </r>
  <r>
    <x v="0"/>
    <x v="0"/>
    <s v="21.2026"/>
    <s v="08 INFR SERVIC Y SUMIN DCH"/>
    <x v="1"/>
    <s v="03 SIST. C.INCENDIO INFRA DCH"/>
    <s v="MANT &amp; PLANIF SUMINISTRO ELECTRICO"/>
    <s v="CGSSERME"/>
    <s v="Preventivo Predictivo"/>
    <s v="020"/>
    <s v="110495171"/>
    <s v="INSPECCIÓN SAPCI S/E K1 SALA CONTROL"/>
    <s v="PL"/>
    <s v="NOTI CTEC JBFI NLIQ PWF PLAN"/>
    <n v="100"/>
    <n v="1"/>
    <n v="1"/>
    <x v="0"/>
  </r>
  <r>
    <x v="0"/>
    <x v="0"/>
    <s v="21.2026"/>
    <s v="08 INFR SERVIC Y SUMIN DCH"/>
    <x v="1"/>
    <s v="03 SIST. C.INCENDIO INFRA DCH"/>
    <s v="MANT &amp; PLANIF SUMINISTRO ELECTRICO"/>
    <s v="CGSSERME"/>
    <s v="Preventivo Predictivo"/>
    <s v="020"/>
    <s v="110495172"/>
    <s v="INSPECCIÓN SAPCI S/E TCHITACK GIS 13,8KV"/>
    <s v="PL"/>
    <s v="NOTI CTEC JBFI NLIQ PWF  RESA PLAN"/>
    <n v="100"/>
    <n v="1"/>
    <n v="1"/>
    <x v="0"/>
  </r>
  <r>
    <x v="0"/>
    <x v="0"/>
    <s v="21.2026"/>
    <s v="08 INFR SERVIC Y SUMIN DCH"/>
    <x v="1"/>
    <s v="03 SIST. C.INCENDIO INFRA DCH"/>
    <s v="MANT &amp; PLANIF SUMINISTRO ELECTRICO"/>
    <s v="CGSSERME"/>
    <s v="Preventivo Sistemático"/>
    <s v="010"/>
    <s v="110500459"/>
    <s v="INSPECCIO SAPCI S/E SOPLADORES GIS 100KV"/>
    <s v="PL"/>
    <s v="NOTI CTEC JBFI NLIQ PWF  RESA PLAN"/>
    <n v="100"/>
    <n v="1"/>
    <n v="1"/>
    <x v="0"/>
  </r>
  <r>
    <x v="0"/>
    <x v="0"/>
    <s v="21.2026"/>
    <s v="08 INFR SERVIC Y SUMIN DCH"/>
    <x v="1"/>
    <s v="05 RESPAL. E.ELEC. INFRA DCH"/>
    <s v="MANT &amp; PLANIF SUMINISTRO ELECTRICO"/>
    <s v="CGSSERME"/>
    <s v="Correctivo Planificado"/>
    <s v="025"/>
    <s v="110440236"/>
    <s v="STN CAMBIO EXTINTOR UPS N°2 SCADA S/E A"/>
    <s v="PL"/>
    <s v="NOTI CTEC JBFI NLIQ PWF  RESA PLAN"/>
    <n v="100"/>
    <n v="1"/>
    <n v="1"/>
    <x v="0"/>
  </r>
  <r>
    <x v="0"/>
    <x v="0"/>
    <s v="21.2026"/>
    <s v="08 INFR SERVIC Y SUMIN DCH"/>
    <x v="1"/>
    <s v="05 RESPAL. E.ELEC. INFRA DCH"/>
    <s v="MANT &amp; PLANIF SUMINISTRO ELECTRICO"/>
    <s v="CGSSERME"/>
    <s v="Correctivo Planificado"/>
    <s v="025"/>
    <s v="110440238"/>
    <s v="STN CAMBIO EXTINTOR UPS N°1 SCADA S/E A"/>
    <s v="PL"/>
    <s v="NOTI CTEC JBFI NLIQ PWF  RESA PLAN"/>
    <n v="100"/>
    <n v="1"/>
    <n v="1"/>
    <x v="0"/>
  </r>
  <r>
    <x v="1"/>
    <x v="1"/>
    <s v="21.2026"/>
    <s v="08 INFR SERVIC Y SUMIN DCH"/>
    <x v="2"/>
    <s v="CHSS-SU"/>
    <s v="MANT &amp; PLANIF CENTRAL TERMICA SULFUROS"/>
    <s v="CGSTMRMM"/>
    <s v="Correctivo No Planificado"/>
    <s v="035"/>
    <s v="110264828"/>
    <s v="Reparar ducto alim. al MH-2"/>
    <s v="NP"/>
    <s v="NOTI CTEC JBFI NLIQ PWF  RESA PLAN"/>
    <n v="0"/>
    <n v="0"/>
    <n v="1"/>
    <x v="1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09037159"/>
    <s v="Cambio de calefactor de aceite Comp N°1"/>
    <s v="PL"/>
    <s v="NOTI CTEC JBFI NLIQ PWF  RESA PLAN"/>
    <n v="100"/>
    <n v="1"/>
    <n v="1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09037159"/>
    <s v="Cambio de calefactor de aceite Comp N°1"/>
    <s v="PL"/>
    <s v="NOTI CTEC JBFI NLIQ PWF PLAN"/>
    <n v="100"/>
    <n v="2"/>
    <n v="2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09170171"/>
    <s v="COMP 8 CAMBIO VALVULAS AD/VE (ACT)"/>
    <s v="PL"/>
    <s v="NOTI CTEC JBFI NLIQ PWF  RESA PLAN"/>
    <n v="100"/>
    <n v="1"/>
    <n v="1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09170171"/>
    <s v="COMP 8 CAMBIO VALVULAS AD/VE (ACT)"/>
    <s v="PL"/>
    <s v="NOTI CTEC JBFI NLIQ PWF PLAN"/>
    <n v="100"/>
    <n v="2"/>
    <n v="2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09207353"/>
    <s v="COMP 8 Cambio rotor de alta  (ACT)"/>
    <s v="PL"/>
    <s v="NOTI CTEC JBFI NLIQ PWF  RESA PLAN"/>
    <n v="100"/>
    <n v="2"/>
    <n v="2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09207353"/>
    <s v="COMP 8 Cambio rotor de alta  (ACT)"/>
    <s v="PL"/>
    <s v="NOTI CTEC JBFI NLIQ PWF PLAN"/>
    <n v="100"/>
    <n v="2"/>
    <n v="2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09207578"/>
    <s v="COMP 8 Cambio roto de baja (ACT)"/>
    <s v="PL"/>
    <s v="NOTI CTEC JBFI NLIQ PWF  RESA PLAN"/>
    <n v="100"/>
    <n v="1"/>
    <n v="1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09207578"/>
    <s v="COMP 8 Cambio roto de baja (ACT)"/>
    <s v="PL"/>
    <s v="NOTI CTEC JBFI NLIQ PWF PLAN"/>
    <n v="100"/>
    <n v="3"/>
    <n v="3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09356986"/>
    <s v="Cambio adaptadores en compresores 90 psi"/>
    <s v="PL"/>
    <s v="NOTI CTEC JBFI NLIQ PWF  RESA PLAN"/>
    <n v="100"/>
    <n v="1"/>
    <n v="1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09356986"/>
    <s v="Cambio adaptadores en compresores 90 psi"/>
    <s v="PL"/>
    <s v="NOTI CTEC JBFI NLIQ PWF PLAN"/>
    <n v="100"/>
    <n v="2"/>
    <n v="2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09361620"/>
    <s v="Mejoras líneas lubricación sopladores."/>
    <s v="PL"/>
    <s v="NOTI CTEC JBFI NLIQ PWF  RESA PLAN"/>
    <n v="100"/>
    <n v="1"/>
    <n v="1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09361620"/>
    <s v="Mejoras líneas lubricación sopladores."/>
    <s v="PL"/>
    <s v="NOTI CTEC JBFI NLIQ PWF PLAN"/>
    <n v="100"/>
    <n v="2"/>
    <n v="2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09500285"/>
    <s v="CAMBIO BBA 3B - FILTRACION"/>
    <s v="PL"/>
    <s v="LIB. NLIQ PLAN"/>
    <n v="0"/>
    <n v="0"/>
    <n v="2"/>
    <x v="1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09500289"/>
    <s v="CAMBIO BBA 3C - FILTRACION"/>
    <s v="PL"/>
    <s v="LIB. NLIQ PLAN"/>
    <n v="0"/>
    <n v="0"/>
    <n v="2"/>
    <x v="1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09501785"/>
    <s v="CAMBIO BBA 1B - FILTRACION SELLOS"/>
    <s v="PL"/>
    <s v="LIB. NLIQ PLAN"/>
    <n v="0"/>
    <n v="0"/>
    <n v="2"/>
    <x v="1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10005386"/>
    <s v="R-COMP 12 PORTA FILTRO AGUA DESGASTE"/>
    <s v="PL"/>
    <s v="NOTI CTEC JBFI NLIQ PWF  RESA PLAN"/>
    <n v="100"/>
    <n v="3"/>
    <n v="3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10011685"/>
    <s v="CTR FILTROS DE CARTUCHOS SATURADOS-MALOS"/>
    <s v="PL"/>
    <s v="LIB. NLIQ PLAN"/>
    <n v="0"/>
    <n v="0"/>
    <n v="2"/>
    <x v="1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10023389"/>
    <s v="COMP 28 PORTA FILTRO AGUA DESGASTE"/>
    <s v="PL"/>
    <s v="NOTI CTEC JBFI NLIQ PWF  RESA PLAN"/>
    <n v="100"/>
    <n v="1"/>
    <n v="1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10023389"/>
    <s v="COMP 28 PORTA FILTRO AGUA DESGASTE"/>
    <s v="PL"/>
    <s v="NOTI CTEC JBFI NLIQ PWF PLAN"/>
    <n v="100"/>
    <n v="2"/>
    <n v="2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10023390"/>
    <s v="COMP 29 PORTA FILTRO AGUA DESGASTE"/>
    <s v="PL"/>
    <s v="NOTI CTEC JBFI NLIQ PWF  RESA PLAN"/>
    <n v="100"/>
    <n v="1"/>
    <n v="1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10023390"/>
    <s v="COMP 29 PORTA FILTRO AGUA DESGASTE"/>
    <s v="PL"/>
    <s v="NOTI CTEC JBFI NLIQ PWF PLAN"/>
    <n v="100"/>
    <n v="2"/>
    <n v="2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10499029"/>
    <s v="(Q) COMP 20 -CAMBIO DE ENFRIADERA"/>
    <s v="PL"/>
    <s v="NOTI JBFI LIB. NLIQ PLAN PWF  RESA"/>
    <n v="100"/>
    <n v="7"/>
    <n v="7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10499029"/>
    <s v="(Q) COMP 20 -CAMBIO DE ENFRIADERA"/>
    <s v="PL"/>
    <s v="NOTP LIB. NLIQ PLAN"/>
    <n v="100"/>
    <n v="2"/>
    <n v="2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10499030"/>
    <s v="TRAB PREVIOS MTTO 6M COMP 27"/>
    <s v="PL"/>
    <s v="NOTI CTEC JBFI NLIQ PWF  RESA PLAN"/>
    <n v="100"/>
    <n v="11"/>
    <n v="11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10499034"/>
    <s v="INST BIOMETRICO ACCESO SALA 11"/>
    <s v="PL"/>
    <s v="NOTI CTEC JBFI NLIQ PWF  RESA PLAN"/>
    <n v="100"/>
    <n v="4"/>
    <n v="4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10499035"/>
    <s v="(Q) 48M MTTO COMPRESOR 08"/>
    <s v="PL"/>
    <s v="LIB. NLIQ PLAN"/>
    <n v="0"/>
    <n v="0"/>
    <n v="1"/>
    <x v="1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10499035"/>
    <s v="(Q) 48M MTTO COMPRESOR 08"/>
    <s v="PL"/>
    <s v="NOTI JBFI LIB. NLIQ PLAN PWF"/>
    <n v="100"/>
    <n v="13"/>
    <n v="13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10499035"/>
    <s v="(Q) 48M MTTO COMPRESOR 08"/>
    <s v="PL"/>
    <s v="NOTI JBFI LIB. NLIQ PLAN PWF  RESA"/>
    <n v="100"/>
    <n v="6"/>
    <n v="6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10499035"/>
    <s v="(Q) 48M MTTO COMPRESOR 08"/>
    <s v="PL"/>
    <s v="NOTP LIB. NLIQ PLAN"/>
    <n v="100"/>
    <n v="3"/>
    <n v="3"/>
    <x v="0"/>
  </r>
  <r>
    <x v="1"/>
    <x v="1"/>
    <s v="21.2026"/>
    <s v="08 INFR SERVIC Y SUMIN DCH"/>
    <x v="2"/>
    <s v="CHSS-SU"/>
    <s v="MANT &amp; PLANIF CENTRAL TERMICA SULFUROS"/>
    <s v="CGSTMRMM"/>
    <s v="Correctivo Planificado"/>
    <s v="025"/>
    <s v="110499456"/>
    <s v="Limpieza de Linea 1 de CAL"/>
    <s v="PL"/>
    <s v="NOTI CTEC JBFI NLIQ PWF  RESA PLAN"/>
    <n v="100"/>
    <n v="6"/>
    <n v="6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32889"/>
    <s v="MRT 4S MEC TOMA MUESTRA ACEITE S21"/>
    <s v="PL"/>
    <s v="NOTI CTEC JBFI NLIQ PWF PLAN"/>
    <n v="100"/>
    <n v="10"/>
    <n v="10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47925"/>
    <s v="INSPECCION SALA ELECTRICA"/>
    <s v="PL"/>
    <s v="NOTI CTEC JBFI NLIQ PWF  RESA PLAN"/>
    <n v="100"/>
    <n v="1"/>
    <n v="1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48000"/>
    <s v="MRT 4S MTTO MEC BOMBA AURORA"/>
    <s v="PL"/>
    <s v="NOTI CTEC JBFI NLIQ PWF  RESA PLAN"/>
    <n v="100"/>
    <n v="14"/>
    <n v="14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48001"/>
    <s v="MRT 4S MTTO MEC BOMBA 3C"/>
    <s v="PL"/>
    <s v="NOTI CTEC JBFI NLIQ PWF  RESA PLAN"/>
    <n v="100"/>
    <n v="12"/>
    <n v="12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48001"/>
    <s v="MRT 4S MTTO MEC BOMBA 3C"/>
    <s v="PL"/>
    <s v="NOTI CTEC JBFI NLIQ PWF PLAN"/>
    <n v="100"/>
    <n v="2"/>
    <n v="2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48901"/>
    <s v="MRT 1S MEC LIMPIEZA MOLINO HARDINGE 1"/>
    <s v="PL"/>
    <s v="NOTI CTEC JBFI NLIQ PWF  RESA PLAN"/>
    <n v="100"/>
    <n v="12"/>
    <n v="12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48901"/>
    <s v="MRT 1S MEC LIMPIEZA MOLINO HARDINGE 1"/>
    <s v="PL"/>
    <s v="NOTI CTEC JBFI NLIQ PWF PLAN"/>
    <n v="100"/>
    <n v="2"/>
    <n v="2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48902"/>
    <s v="MRT 1S MEC LIMPIEZA MOLINO HARDINGE 2"/>
    <s v="PL"/>
    <s v="NOTI CTEC JBFI NLIQ PWF  RESA PLAN"/>
    <n v="100"/>
    <n v="12"/>
    <n v="12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48902"/>
    <s v="MRT 1S MEC LIMPIEZA MOLINO HARDINGE 2"/>
    <s v="PL"/>
    <s v="NOTI CTEC JBFI NLIQ PWF PLAN"/>
    <n v="100"/>
    <n v="2"/>
    <n v="2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48903"/>
    <s v="MRT 1S MEC LIMPIEZA MOLINO TORRE"/>
    <s v="PL"/>
    <s v="NOTI CTEC JBFI NLIQ PWF  RESA PLAN"/>
    <n v="100"/>
    <n v="11"/>
    <n v="11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48903"/>
    <s v="MRT 1S MEC LIMPIEZA MOLINO TORRE"/>
    <s v="PL"/>
    <s v="NOTI CTEC JBFI NLIQ PWF PLAN"/>
    <n v="100"/>
    <n v="2"/>
    <n v="2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48905"/>
    <s v="MRT 1S MEC LIMPIEZA AEROVENTILADORES"/>
    <s v="PL"/>
    <s v="NOTI CTEC JBFI NLIQ PWF  RESA PLAN"/>
    <n v="100"/>
    <n v="5"/>
    <n v="5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48908"/>
    <s v="MRT 1S MTTO CORREA 132"/>
    <s v="PL"/>
    <s v="NOTI CTEC JBFI NLIQ PWF  RESA PLAN"/>
    <n v="100"/>
    <n v="3"/>
    <n v="3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48908"/>
    <s v="MRT 1S MTTO CORREA 132"/>
    <s v="PL"/>
    <s v="NOTI CTEC JBFI NLIQ PWF PLAN"/>
    <n v="100"/>
    <n v="4"/>
    <n v="4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48909"/>
    <s v="MRT 1S MTTO CORREA 129"/>
    <s v="PL"/>
    <s v="NOTI CTEC JBFI NLIQ PWF  RESA PLAN"/>
    <n v="100"/>
    <n v="3"/>
    <n v="3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48909"/>
    <s v="MRT 1S MTTO CORREA 129"/>
    <s v="PL"/>
    <s v="NOTI CTEC JBFI NLIQ PWF PLAN"/>
    <n v="100"/>
    <n v="4"/>
    <n v="4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48911"/>
    <s v="MRT 1S LIMPIEZA FILTRO DE MANGA"/>
    <s v="PL"/>
    <s v="NOTI CTEC JBFI NLIQ PWF  RESA PLAN"/>
    <n v="100"/>
    <n v="4"/>
    <n v="4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68786"/>
    <s v="MRT 3S MEC MTTO ANÁLISIS VIBRACIONES CTR"/>
    <s v="PL"/>
    <s v="NOTI CTEC JBFI NLIQ PWF  RESA PLAN"/>
    <n v="100"/>
    <n v="3"/>
    <n v="3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468787"/>
    <s v="MRT 3S MEC MTTO ANÁLISIS VIBRACIONES PHC"/>
    <s v="PL"/>
    <s v="NOTI CTEC JBFI NLIQ PWF  RESA PLAN"/>
    <n v="100"/>
    <n v="3"/>
    <n v="3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500458"/>
    <s v="MRT 4S MEC INSP SOPLADOR N°7"/>
    <s v="PL"/>
    <s v="NOTI CTEC JBFI NLIQ PWF  RESA PLAN"/>
    <n v="100"/>
    <n v="25"/>
    <n v="25"/>
    <x v="0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500509"/>
    <s v="MRT 6M MTTO COMPRESOR N°29"/>
    <s v="PL"/>
    <s v="NOTI CTEC JBFI NLIQ PWF  RESA PLAN"/>
    <n v="50"/>
    <n v="5"/>
    <n v="10"/>
    <x v="1"/>
  </r>
  <r>
    <x v="1"/>
    <x v="1"/>
    <s v="21.2026"/>
    <s v="08 INFR SERVIC Y SUMIN DCH"/>
    <x v="2"/>
    <s v="CHSS-SU"/>
    <s v="MANT &amp; PLANIF CENTRAL TERMICA SULFUROS"/>
    <s v="CGSTMRMM"/>
    <s v="Preventivo Sistemático"/>
    <s v="010"/>
    <s v="110500509"/>
    <s v="MRT 6M MTTO COMPRESOR N°29"/>
    <s v="PL"/>
    <s v="NOTI CTEC JBFI NLIQ PWF PLAN"/>
    <n v="100"/>
    <n v="17"/>
    <n v="17"/>
    <x v="0"/>
  </r>
  <r>
    <x v="1"/>
    <x v="1"/>
    <s v="21.2026"/>
    <s v="08 INFR SERVIC Y SUMIN DCH"/>
    <x v="1"/>
    <s v="02 GRUAS INFRA DCH"/>
    <s v="MANT &amp; PLANIF CENTRAL TERMICA SULFUROS"/>
    <s v="CGSTMRMM"/>
    <s v="Preventivo Sistemático"/>
    <s v="010"/>
    <s v="110448004"/>
    <s v="MRT 4S MEC MTTO PUENTE GRUA SOPLADORES"/>
    <s v="PL"/>
    <s v="NOTI JBFI LIB. NLIQ PLAN PWF  RESA"/>
    <n v="100"/>
    <n v="9"/>
    <n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E8004-4E0F-45B2-AB9B-6F0A0B3C123B}" name="TablaDinámica2" cacheId="125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43:F49" firstHeaderRow="1" firstDataRow="2" firstDataCol="3"/>
  <pivotFields count="18">
    <pivotField axis="axisRow" compact="0" outline="0" subtotalTop="0" showAll="0" defaultSubtotal="0">
      <items count="2">
        <item x="0"/>
        <item x="1"/>
      </items>
    </pivotField>
    <pivotField axis="axisRow" compact="0" outline="0" subtotalTop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numFmtId="166" outline="0" showAll="0" defaultSubtotal="0"/>
    <pivotField compact="0" numFmtId="165" outline="0" showAll="0" defaultSubtotal="0"/>
    <pivotField dataField="1" compact="0" numFmtId="167" outline="0" showAll="0" defaultSubtotal="0"/>
    <pivotField axis="axisCol" compact="0" outline="0" subtotalTop="0" showAll="0" defaultSubtotal="0">
      <items count="2">
        <item x="0"/>
        <item x="1"/>
      </items>
    </pivotField>
  </pivotFields>
  <rowFields count="3">
    <field x="4"/>
    <field x="1"/>
    <field x="0"/>
  </rowFields>
  <rowItems count="5">
    <i>
      <x/>
      <x/>
      <x/>
    </i>
    <i>
      <x v="1"/>
      <x v="1"/>
      <x v="1"/>
    </i>
    <i>
      <x v="2"/>
      <x/>
      <x/>
    </i>
    <i r="1">
      <x v="1"/>
      <x v="1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Suma de Total Op. Programadas" fld="16" baseField="0" baseItem="0" numFmtId="165"/>
  </dataFields>
  <formats count="9">
    <format dxfId="106">
      <pivotArea outline="0" collapsedLevelsAreSubtotals="1" fieldPosition="0"/>
    </format>
    <format dxfId="105">
      <pivotArea outline="0" collapsedLevelsAreSubtotals="1" fieldPosition="0"/>
    </format>
    <format dxfId="104">
      <pivotArea outline="0" fieldPosition="0">
        <references count="1">
          <reference field="17" count="1" selected="0">
            <x v="1"/>
          </reference>
        </references>
      </pivotArea>
    </format>
    <format dxfId="103">
      <pivotArea grandCol="1" outline="0" collapsedLevelsAreSubtotals="1" fieldPosition="0"/>
    </format>
    <format dxfId="102">
      <pivotArea field="17" type="button" dataOnly="0" labelOnly="1" outline="0" axis="axisCol" fieldPosition="0"/>
    </format>
    <format dxfId="101">
      <pivotArea type="topRight" dataOnly="0" labelOnly="1" outline="0" fieldPosition="0"/>
    </format>
    <format dxfId="100">
      <pivotArea dataOnly="0" labelOnly="1" outline="0" fieldPosition="0">
        <references count="1">
          <reference field="17" count="0"/>
        </references>
      </pivotArea>
    </format>
    <format dxfId="99">
      <pivotArea dataOnly="0" labelOnly="1" grandCol="1" outline="0" fieldPosition="0"/>
    </format>
    <format dxfId="98">
      <pivotArea outline="0" collapsedLevelsAreSubtotals="1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2E328-9EA5-4431-91B0-DACAE8C1D90D}" name="TablaDinámica1" cacheId="124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57:F64" firstHeaderRow="1" firstDataRow="2" firstDataCol="3"/>
  <pivotFields count="20"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compact="0" outline="0" showAll="0" defaultSubtotal="0"/>
    <pivotField axis="axisRow" compact="0" outline="0" subtotalTop="0" showAll="0" defaultSubtotal="0">
      <items count="3">
        <item x="0"/>
        <item x="1"/>
        <item x="2"/>
      </items>
    </pivotField>
    <pivotField axis="axisRow" compact="0" outline="0" subtotalTop="0" showAll="0" defaultSubtotal="0">
      <items count="3">
        <item x="0"/>
        <item x="1"/>
        <item x="2"/>
      </items>
    </pivotField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numFmtId="166" outline="0" showAll="0" defaultSubtotal="0"/>
    <pivotField compact="0" numFmtId="166" outline="0" showAll="0" defaultSubtotal="0"/>
    <pivotField compact="0" numFmtId="166" outline="0" showAll="0" defaultSubtotal="0"/>
    <pivotField compact="0" numFmtId="165" outline="0" showAll="0" defaultSubtotal="0"/>
    <pivotField dataField="1" compact="0" numFmtId="165" outline="0" showAll="0" defaultSubtotal="0"/>
    <pivotField axis="axisCol" compact="0" outline="0" showAll="0" defaultSubtotal="0">
      <items count="2">
        <item x="0"/>
        <item x="1"/>
      </items>
    </pivotField>
  </pivotFields>
  <rowFields count="3">
    <field x="2"/>
    <field x="5"/>
    <field x="4"/>
  </rowFields>
  <rowItems count="6">
    <i>
      <x/>
      <x/>
      <x/>
    </i>
    <i>
      <x v="1"/>
      <x v="1"/>
      <x v="1"/>
    </i>
    <i>
      <x v="2"/>
      <x/>
      <x/>
    </i>
    <i r="1">
      <x v="1"/>
      <x v="1"/>
    </i>
    <i r="1">
      <x v="2"/>
      <x v="2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Suma de Cantidad de Operaciones totales" fld="18" baseField="0" baseItem="0" numFmtId="165"/>
  </dataFields>
  <formats count="8">
    <format dxfId="114">
      <pivotArea outline="0" fieldPosition="0">
        <references count="1">
          <reference field="19" count="1" selected="0">
            <x v="1"/>
          </reference>
        </references>
      </pivotArea>
    </format>
    <format dxfId="113">
      <pivotArea grandCol="1" outline="0" collapsedLevelsAreSubtotals="1" fieldPosition="0"/>
    </format>
    <format dxfId="112">
      <pivotArea field="19" type="button" dataOnly="0" labelOnly="1" outline="0" axis="axisCol" fieldPosition="0"/>
    </format>
    <format dxfId="111">
      <pivotArea type="topRight" dataOnly="0" labelOnly="1" outline="0" fieldPosition="0"/>
    </format>
    <format dxfId="110">
      <pivotArea dataOnly="0" labelOnly="1" outline="0" fieldPosition="0">
        <references count="1">
          <reference field="19" count="0"/>
        </references>
      </pivotArea>
    </format>
    <format dxfId="109">
      <pivotArea dataOnly="0" labelOnly="1" grandCol="1" outline="0" fieldPosition="0"/>
    </format>
    <format dxfId="108">
      <pivotArea dataOnly="0" labelOnly="1" grandRow="1" outline="0" fieldPosition="0"/>
    </format>
    <format dxfId="107">
      <pivotArea outline="0" collapsedLevelsAreSubtotals="1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50CD9-7BAE-4C68-A3FB-204FFBC617B5}" name="TablaDinámica5" cacheId="121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2:D4" firstHeaderRow="1" firstDataRow="1" firstDataCol="3"/>
  <pivotFields count="17">
    <pivotField compact="0" outline="0" showAll="0" defaultSubtotal="0"/>
    <pivotField compact="0" outline="0" subtotalTop="0" showAll="0" defaultSubtotal="0"/>
    <pivotField axis="axisRow" compact="0" outline="0" showAll="0" defaultSubtotal="0">
      <items count="1"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numFmtId="164" outline="0" subtotalTop="0" showAll="0" defaultSubtotal="0"/>
    <pivotField axis="axisRow" compact="0" outline="0" subtotalTop="0" showAll="0" defaultSubtotal="0">
      <items count="1">
        <item x="0"/>
      </items>
    </pivotField>
    <pivotField axis="axisRow" compact="0" outline="0" subtotalTop="0" showAll="0" defaultSubtotal="0">
      <items count="1">
        <item x="0"/>
      </items>
    </pivotField>
    <pivotField dataField="1"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numFmtId="165" outline="0" subtotalTop="0" showAll="0" defaultSubtotal="0"/>
  </pivotFields>
  <rowFields count="3">
    <field x="2"/>
    <field x="11"/>
    <field x="10"/>
  </rowFields>
  <rowItems count="2">
    <i>
      <x/>
      <x/>
      <x/>
    </i>
    <i t="grand">
      <x/>
    </i>
  </rowItems>
  <colItems count="1">
    <i/>
  </colItems>
  <dataFields count="1">
    <dataField name="Avisos" fld="12" subtotal="count" baseField="0" baseItem="0"/>
  </dataFields>
  <formats count="12">
    <format dxfId="126">
      <pivotArea dataOnly="0" outline="0" axis="axisValues" fieldPosition="0"/>
    </format>
    <format dxfId="125">
      <pivotArea dataOnly="0" labelOnly="1" outline="0" axis="axisValues" fieldPosition="0"/>
    </format>
    <format dxfId="124">
      <pivotArea dataOnly="0" labelOnly="1" grandRow="1" outline="0" fieldPosition="0"/>
    </format>
    <format dxfId="123">
      <pivotArea outline="0" collapsedLevelsAreSubtotals="1" fieldPosition="0"/>
    </format>
    <format dxfId="122">
      <pivotArea outline="0" collapsedLevelsAreSubtotals="1" fieldPosition="0"/>
    </format>
    <format dxfId="121">
      <pivotArea grandRow="1" outline="0" collapsedLevelsAreSubtotals="1" fieldPosition="0"/>
    </format>
    <format dxfId="120">
      <pivotArea field="11" type="button" dataOnly="0" labelOnly="1" outline="0" axis="axisRow" fieldPosition="1"/>
    </format>
    <format dxfId="119">
      <pivotArea field="10" type="button" dataOnly="0" labelOnly="1" outline="0" axis="axisRow" fieldPosition="2"/>
    </format>
    <format dxfId="118">
      <pivotArea outline="0" collapsedLevelsAreSubtotals="1" fieldPosition="0"/>
    </format>
    <format dxfId="117">
      <pivotArea dataOnly="0" labelOnly="1" outline="0" axis="axisValues" fieldPosition="0"/>
    </format>
    <format dxfId="116">
      <pivotArea outline="0" collapsedLevelsAreSubtotals="1" fieldPosition="0"/>
    </format>
    <format dxfId="115">
      <pivotArea dataOnly="0" labelOnly="1" outline="0" axis="axisValues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6BAE7-4FA7-46E2-B85A-4F9BDB122173}" name="TablaDinámica4" cacheId="122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12:D20" firstHeaderRow="1" firstDataRow="1" firstDataCol="3"/>
  <pivotFields count="15">
    <pivotField axis="axisRow" compact="0" outline="0" subtotalTop="0" showAll="0" defaultSubtotal="0">
      <items count="5">
        <item x="0"/>
        <item x="2"/>
        <item x="3"/>
        <item x="1"/>
        <item x="4"/>
      </items>
    </pivotField>
    <pivotField axis="axisRow" compact="0" outline="0" subtotalTop="0" showAll="0" defaultSubtotal="0">
      <items count="5">
        <item x="0"/>
        <item x="2"/>
        <item x="3"/>
        <item x="1"/>
        <item x="4"/>
      </items>
    </pivotField>
    <pivotField compact="0" outline="0" subtotalTop="0" showAll="0" defaultSubtotal="0"/>
    <pivotField axis="axisRow" compact="0" outline="0" showAll="0" defaultSubtotal="0">
      <items count="4">
        <item x="0"/>
        <item x="2"/>
        <item x="1"/>
        <item x="3"/>
      </items>
    </pivotField>
    <pivotField compact="0" outline="0" showAll="0" defaultSubtotal="0"/>
    <pivotField dataField="1"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5" outline="0" showAll="0" defaultSubtotal="0"/>
  </pivotFields>
  <rowFields count="3">
    <field x="3"/>
    <field x="1"/>
    <field x="0"/>
  </rowFields>
  <rowItems count="8">
    <i>
      <x/>
      <x/>
      <x/>
    </i>
    <i>
      <x v="1"/>
      <x v="1"/>
      <x v="1"/>
    </i>
    <i r="1">
      <x v="2"/>
      <x v="2"/>
    </i>
    <i>
      <x v="2"/>
      <x v="1"/>
      <x v="1"/>
    </i>
    <i r="1">
      <x v="3"/>
      <x v="3"/>
    </i>
    <i r="1">
      <x v="4"/>
      <x v="4"/>
    </i>
    <i>
      <x v="3"/>
      <x v="2"/>
      <x v="2"/>
    </i>
    <i t="grand">
      <x/>
    </i>
  </rowItems>
  <colItems count="1">
    <i/>
  </colItems>
  <dataFields count="1">
    <dataField name="Órdenes" fld="5" subtotal="count" baseField="0" baseItem="0"/>
  </dataFields>
  <formats count="7">
    <format dxfId="133">
      <pivotArea dataOnly="0" outline="0" axis="axisValues" fieldPosition="0"/>
    </format>
    <format dxfId="132">
      <pivotArea dataOnly="0" labelOnly="1" outline="0" axis="axisValues" fieldPosition="0"/>
    </format>
    <format dxfId="131">
      <pivotArea field="0" type="button" dataOnly="0" labelOnly="1" outline="0" axis="axisRow" fieldPosition="2"/>
    </format>
    <format dxfId="130">
      <pivotArea dataOnly="0" labelOnly="1" grandRow="1" outline="0" fieldPosition="0"/>
    </format>
    <format dxfId="129">
      <pivotArea outline="0" collapsedLevelsAreSubtotals="1" fieldPosition="0"/>
    </format>
    <format dxfId="128">
      <pivotArea dataOnly="0" labelOnly="1" outline="0" axis="axisValues" fieldPosition="0"/>
    </format>
    <format dxfId="127">
      <pivotArea outline="0" collapsedLevelsAreSubtotals="1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DC098-D156-4AC3-A6BB-7DDBD47958AE}" name="TablaDinámica3" cacheId="123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28:F34" firstHeaderRow="1" firstDataRow="2" firstDataCol="3"/>
  <pivotFields count="23"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3">
        <item x="0"/>
        <item x="1"/>
        <item x="2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2">
        <item x="0"/>
        <item x="1"/>
      </items>
    </pivotField>
    <pivotField axis="axisRow" compact="0" outline="0" showAll="0" defaultSubtotal="0">
      <items count="2">
        <item x="1"/>
        <item x="0"/>
      </items>
    </pivotField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numFmtId="164" outline="0" showAll="0" defaultSubtotal="0"/>
    <pivotField compact="0" numFmtId="164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dataField="1" compact="0" numFmtId="167" outline="0" subtotalTop="0" showAll="0" defaultSubtotal="0"/>
    <pivotField axis="axisCol" compact="0" outline="0" showAll="0" defaultSubtotal="0">
      <items count="2">
        <item x="0"/>
        <item x="1"/>
      </items>
    </pivotField>
    <pivotField compact="0" outline="0" subtotalTop="0" dragToRow="0" dragToCol="0" dragToPage="0" showAll="0" defaultSubtotal="0"/>
  </pivotFields>
  <rowFields count="3">
    <field x="2"/>
    <field x="8"/>
    <field x="9"/>
  </rowFields>
  <rowItems count="5">
    <i>
      <x/>
      <x/>
      <x v="1"/>
    </i>
    <i>
      <x v="1"/>
      <x v="1"/>
      <x/>
    </i>
    <i>
      <x v="2"/>
      <x/>
      <x v="1"/>
    </i>
    <i r="1">
      <x v="1"/>
      <x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Suma de HH Totales Reales" fld="20" baseField="0" baseItem="0" numFmtId="167"/>
  </dataFields>
  <formats count="8">
    <format dxfId="141">
      <pivotArea outline="0" collapsedLevelsAreSubtotals="1" fieldPosition="0"/>
    </format>
    <format dxfId="140">
      <pivotArea outline="0" collapsedLevelsAreSubtotals="1" fieldPosition="0"/>
    </format>
    <format dxfId="139">
      <pivotArea grandCol="1" outline="0" collapsedLevelsAreSubtotals="1" fieldPosition="0"/>
    </format>
    <format dxfId="138">
      <pivotArea field="21" type="button" dataOnly="0" labelOnly="1" outline="0" axis="axisCol" fieldPosition="0"/>
    </format>
    <format dxfId="137">
      <pivotArea type="topRight" dataOnly="0" labelOnly="1" outline="0" fieldPosition="0"/>
    </format>
    <format dxfId="136">
      <pivotArea dataOnly="0" labelOnly="1" outline="0" fieldPosition="0">
        <references count="1">
          <reference field="21" count="0"/>
        </references>
      </pivotArea>
    </format>
    <format dxfId="135">
      <pivotArea dataOnly="0" labelOnly="1" grandCol="1" outline="0" fieldPosition="0"/>
    </format>
    <format dxfId="134">
      <pivotArea outline="0" collapsedLevelsAreSubtotals="1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1BFD2F-5510-4AA6-B9F0-A6B4B2A8073F}" name="Tbl_AvisosPendientes" displayName="Tbl_AvisosPendientes" ref="A1:Q5" totalsRowShown="0" headerRowDxfId="97" dataDxfId="95" headerRowBorderDxfId="96" tableBorderDxfId="94" totalsRowBorderDxfId="93">
  <autoFilter ref="A1:Q5" xr:uid="{941BFD2F-5510-4AA6-B9F0-A6B4B2A8073F}"/>
  <tableColumns count="17">
    <tableColumn id="1" xr3:uid="{4BFFC872-05B5-4A61-B6BC-96C48ECB2B60}" name="Año natural/Semana" dataDxfId="92"/>
    <tableColumn id="2" xr3:uid="{BEA9B5DA-2A67-4BD3-B1D2-C34868242F2F}" name="Fase" dataDxfId="91"/>
    <tableColumn id="3" xr3:uid="{4E1F151E-EBEC-49A5-8053-B639C12AD3F4}" name="Proceso" dataDxfId="90"/>
    <tableColumn id="4" xr3:uid="{CAF09804-A486-4FFD-9F74-402E5302F37D}" name="SubProceso" dataDxfId="89"/>
    <tableColumn id="5" xr3:uid="{2CE56D45-D59C-48AC-BC73-1AE95BD33C4C}" name="Aviso" dataDxfId="88"/>
    <tableColumn id="6" xr3:uid="{3AD452E0-6A67-491E-A44D-513E924399E8}" name="Txt. Breve" dataDxfId="87"/>
    <tableColumn id="7" xr3:uid="{67BA511C-41E9-411D-995B-DB475A46A93C}" name="Clase de aviso" dataDxfId="86"/>
    <tableColumn id="8" xr3:uid="{1B2680F4-AED6-4426-88D5-9CAD425A663D}" name="Prioridad" dataDxfId="85"/>
    <tableColumn id="9" xr3:uid="{9FD7D27F-3060-46C9-BB8D-340BC03F6F0B}" name="Status de Sistema" dataDxfId="84"/>
    <tableColumn id="10" xr3:uid="{6B554384-0ABD-4D46-8CC7-C30B574E8DD7}" name="Fecha Aviso PM" dataDxfId="83"/>
    <tableColumn id="11" xr3:uid="{12ADBB85-6F5F-479D-9139-79F15B814889}" name="Gr.planif.PM" dataDxfId="82"/>
    <tableColumn id="12" xr3:uid="{AC7E5C1B-3072-4C52-B677-20766B788750}" name="Gr.Planif" dataDxfId="81"/>
    <tableColumn id="13" xr3:uid="{51E8AF14-3E04-4393-97ED-8AF63348B0AA}" name="Orden mantenimiento" dataDxfId="80"/>
    <tableColumn id="14" xr3:uid="{95EA7FCF-222B-450D-8CA7-947D1B2AE151}" name="Columna3" dataDxfId="79"/>
    <tableColumn id="15" xr3:uid="{837911DF-672C-450D-AC51-96B27820A884}" name="Puesto de trabajo" dataDxfId="78"/>
    <tableColumn id="16" xr3:uid="{37148575-42EA-411C-AC04-D3287FBA0648}" name="Pto. Trabajo" dataDxfId="77"/>
    <tableColumn id="17" xr3:uid="{5BD7AE2F-5F40-499B-9792-4E32A769F60D}" name="Número de avisos pendien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BB09C7-DF26-4854-B52E-1056233BEDAC}" name="Tbl_ÓrdenesPendientes" displayName="Tbl_ÓrdenesPendientes" ref="A1:O56" totalsRowShown="0" headerRowDxfId="76" dataDxfId="74" headerRowBorderDxfId="75" tableBorderDxfId="73" totalsRowBorderDxfId="72">
  <autoFilter ref="A1:O56" xr:uid="{B7BB09C7-DF26-4854-B52E-1056233BEDAC}"/>
  <tableColumns count="15">
    <tableColumn id="1" xr3:uid="{03E4F5D9-8958-4929-BB2B-A65A20C69351}" name="Gr.planif.PM" dataDxfId="71"/>
    <tableColumn id="2" xr3:uid="{F8628D4A-6FD6-4386-8CD3-4AD73BD672A0}" name="Gr. Planif" dataDxfId="70"/>
    <tableColumn id="3" xr3:uid="{BDB95212-5F37-4A60-BD1C-311CECF11790}" name="Fase" dataDxfId="69"/>
    <tableColumn id="4" xr3:uid="{20CF2AF5-7E27-41F7-A5D7-27A02289500F}" name="Proceso" dataDxfId="68"/>
    <tableColumn id="5" xr3:uid="{9E055174-2211-4BF8-A344-043808BB58B9}" name="Sub-Proceso" dataDxfId="67"/>
    <tableColumn id="6" xr3:uid="{C5F3547D-D2A0-4F2B-A7B5-44268A748C65}" name="Orden mantenimiento" dataDxfId="66"/>
    <tableColumn id="7" xr3:uid="{AA6ABFAE-E74C-4179-AF50-75C1064CE018}" name="Txt. Breve" dataDxfId="65"/>
    <tableColumn id="8" xr3:uid="{1BCB9C48-47F4-4EFB-9998-D9475A817E05}" name="Status de Sistema" dataDxfId="64"/>
    <tableColumn id="9" xr3:uid="{5FBC6285-2588-4D8F-99BF-FF5973F7E900}" name="Clase de orden" dataDxfId="63"/>
    <tableColumn id="10" xr3:uid="{4EA42F2F-764A-4E6C-909C-36693A54E772}" name="Clase actividad PM" dataDxfId="62"/>
    <tableColumn id="11" xr3:uid="{B12A427C-2F67-446C-A5BE-7129D5E982CF}" name="Actividad PM" dataDxfId="61"/>
    <tableColumn id="12" xr3:uid="{48DF382B-0D9B-4ADD-B85B-43CCD5F46F64}" name="Año natural/Semana" dataDxfId="60"/>
    <tableColumn id="13" xr3:uid="{69CEC131-A79C-4B21-A30E-F4B570CE8F5B}" name="Pto. Trabajo" dataDxfId="59"/>
    <tableColumn id="14" xr3:uid="{80A863BB-FE39-43CE-BF1C-EE2F31F39FC0}" name="Puesto de trabajo" dataDxfId="58"/>
    <tableColumn id="15" xr3:uid="{3190B876-DC40-4ABC-8CA0-C0F33F2E6A2D}" name="Número de OT Pendien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46EEFE-4518-4FB6-A8E9-7127D96A9604}" name="Tbl_PctTrabajoPlanificado" displayName="Tbl_PctTrabajoPlanificado" ref="A1:V98" totalsRowShown="0" headerRowDxfId="57" tableBorderDxfId="56">
  <autoFilter ref="A1:V98" xr:uid="{CC46EEFE-4518-4FB6-A8E9-7127D96A9604}"/>
  <tableColumns count="22">
    <tableColumn id="1" xr3:uid="{AA1E327C-A5C6-4BC5-9331-B4DE4511BCAC}" name="Año natural/Semana" dataDxfId="55"/>
    <tableColumn id="2" xr3:uid="{E03F1D98-16B0-4BD2-91A1-E54D5BD386F0}" name="Fase" dataDxfId="54"/>
    <tableColumn id="3" xr3:uid="{DB02CF31-9198-4143-B50D-654C75F8F6D8}" name="Proceso" dataDxfId="53"/>
    <tableColumn id="4" xr3:uid="{521699C6-332E-4406-A14F-648648E0A781}" name="SubProceso" dataDxfId="52"/>
    <tableColumn id="5" xr3:uid="{FD72859E-1C3B-4774-A982-1492CF4F58DE}" name="Puesto de trabajo" dataDxfId="51"/>
    <tableColumn id="6" xr3:uid="{3AC9AE0E-70F9-40EE-9412-699242B43447}" name="Psto. Trabaj" dataDxfId="50"/>
    <tableColumn id="7" xr3:uid="{1A5628ED-489D-4FC4-97A8-4DA473C12D0B}" name="Clase actividad PM" dataDxfId="49"/>
    <tableColumn id="8" xr3:uid="{AB004A1D-C719-4019-B576-6A83661DB9C5}" name="Actividad PM" dataDxfId="48"/>
    <tableColumn id="9" xr3:uid="{70170402-4D11-4C37-B0F2-4E1F5565978B}" name="Gr. planif" dataDxfId="47">
      <calculatedColumnFormula>VLOOKUP(Tbl_PctTrabajoPlanificado[[#This Row],[Orden mantenimiento]],Data!$E$2:$H$63,2,FALSE)</calculatedColumnFormula>
    </tableColumn>
    <tableColumn id="10" xr3:uid="{59C22FB7-3A4E-49BE-8CE7-BAFB8F82E400}" name="Gr. planif.PM" dataDxfId="46">
      <calculatedColumnFormula array="1">_xlfn.IFS(I2="C81","Pl.Termoelec.Chuq.",I2="C82","Pl.Dist.Energ.Elec",I2="C89","Pl.Mant.Ind.Electr",I2="CO0","Concentradora A0",I2="CO1","Concentradora A1",I2="CO2","Concentradora A2",I2="CB1","SAE Centralizado",I2="C71","Pl.Maestranza.Cent",I2="C72","Pl.Calderería.Cent",I2="C74","CONTRATOS METALMEC",I2="C40","Planif. Refinería",I2="SAPCI","SAPCI",TRUE,"Código no encontrado")</calculatedColumnFormula>
    </tableColumn>
    <tableColumn id="11" xr3:uid="{191C9783-049D-41CE-A4E4-8EAB6CA659AF}" name="Orden mantenimiento" dataDxfId="45"/>
    <tableColumn id="12" xr3:uid="{C8A90946-D664-4AA8-B39A-EB93614BBAFE}" name="Txt. Breve" dataDxfId="44"/>
    <tableColumn id="13" xr3:uid="{970F2E8E-A457-47B1-AF8D-4CD5F061D81F}" name="Status de Sistema" dataDxfId="43"/>
    <tableColumn id="14" xr3:uid="{77A7706F-D947-42FC-BB5F-B2C3F0C1D052}" name="Clase de orden" dataDxfId="42"/>
    <tableColumn id="22" xr3:uid="{AF24B8F5-DC0D-41B9-9DCA-A6DE3F430B34}" name="Horizonte" dataDxfId="41">
      <calculatedColumnFormula>Tbl_PctTrabajoPlanificado[[#This Row],[Fecha inicio real]]-Tbl_PctTrabajoPlanificado[[#This Row],[Fecha Libera Orden]]</calculatedColumnFormula>
    </tableColumn>
    <tableColumn id="15" xr3:uid="{74E1756C-EBC8-4B26-83C7-73D7DC63764A}" name="Fecha Libera Orden" dataDxfId="40"/>
    <tableColumn id="16" xr3:uid="{65CDCB9C-3735-4B07-9435-405FC905BCA3}" name="Fecha inicio real" dataDxfId="39"/>
    <tableColumn id="17" xr3:uid="{D4CAE9B1-1C7E-46C6-BF6B-B7E8A68D2E77}" name="Grupo hojas de ruta" dataDxfId="38"/>
    <tableColumn id="18" xr3:uid="{E6B6EF32-370C-4179-B85E-41E96DAD224C}" name="% Planificado (HH)"/>
    <tableColumn id="19" xr3:uid="{677AFC60-A5D6-48AE-8E18-957DE7DF2888}" name="HH Plan. Reales"/>
    <tableColumn id="20" xr3:uid="{B574C560-A886-4020-A953-47272E61CEAE}" name="HH Totales Reales"/>
    <tableColumn id="21" xr3:uid="{1BDB78B9-E39D-4480-841E-5DA070F02C7C}" name="Criter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2CFD16-1F32-46E2-8F46-3012931A096E}" name="Tbl_ProgramaSemanal" displayName="Tbl_ProgramaSemanal" ref="A1:R78" totalsRowShown="0" headerRowDxfId="37" headerRowBorderDxfId="36" tableBorderDxfId="35" totalsRowBorderDxfId="34">
  <autoFilter ref="A1:R78" xr:uid="{272CFD16-1F32-46E2-8F46-3012931A096E}"/>
  <tableColumns count="18">
    <tableColumn id="1" xr3:uid="{E1F28802-7184-4CFA-8DBA-288BF5126565}" name="Gr.planif.PM" dataDxfId="33"/>
    <tableColumn id="2" xr3:uid="{378D06AE-54F7-4E93-9E7F-551E7FDC53BF}" name="Gr.planif" dataDxfId="32"/>
    <tableColumn id="3" xr3:uid="{5B97625C-F0EE-4C39-98EF-4C6A3CFE2807}" name="S Agr Fec Ini + Temp" dataDxfId="31"/>
    <tableColumn id="4" xr3:uid="{657CD5F9-2930-4571-BCAD-B0F1C46E2026}" name="Fase" dataDxfId="30"/>
    <tableColumn id="5" xr3:uid="{2B469E40-BBC1-421C-9EEA-F920AE29A94F}" name="Proceso" dataDxfId="29"/>
    <tableColumn id="6" xr3:uid="{FCC84A5A-3F3B-4B83-8C3C-B9F3E2E1A7BB}" name="SubProceso" dataDxfId="28"/>
    <tableColumn id="7" xr3:uid="{0580D0DE-A9E8-4AF4-AAC6-91DCEF9323F8}" name="Puesto de trabajo" dataDxfId="27"/>
    <tableColumn id="8" xr3:uid="{7292B591-877D-4B44-8C01-EF831ABFFB3E}" name="Psto. Trabaj" dataDxfId="26"/>
    <tableColumn id="9" xr3:uid="{A2CB9E94-D713-4086-8A39-04668CC3FD56}" name="Clase actividad PM"/>
    <tableColumn id="10" xr3:uid="{E81020BD-40E2-457F-986F-D5BD3B1BA340}" name="Actividad PM" dataDxfId="25"/>
    <tableColumn id="11" xr3:uid="{77091642-21B1-49C6-A9E3-24225345919F}" name="Orden mantenimiento" dataDxfId="24"/>
    <tableColumn id="12" xr3:uid="{DCA18533-007A-4AEB-85B7-640A0AAFB1DF}" name="Txt. Breve" dataDxfId="23"/>
    <tableColumn id="13" xr3:uid="{29FE4D2E-D845-4FF6-AE65-B7B9F132ADD1}" name="Clase de orden" dataDxfId="22"/>
    <tableColumn id="14" xr3:uid="{D1CC6076-DBEF-4DE8-8D87-76F9A95D4DA4}" name="Status de Sistema" dataDxfId="21"/>
    <tableColumn id="15" xr3:uid="{C7799E3F-6C4D-44E6-BB07-7208F62F3BAB}" name="Cumplimiento Prog. Semanal (Op)" dataDxfId="20"/>
    <tableColumn id="16" xr3:uid="{7A75343C-5036-418A-9626-50F3D6C59EBC}" name="Indicador cumple sem" dataDxfId="19"/>
    <tableColumn id="17" xr3:uid="{4F6AE093-7FD6-45E8-BBD8-9DAFB4C2143E}" name="Total Op. Programadas" dataDxfId="18"/>
    <tableColumn id="18" xr3:uid="{D4D22862-E9CB-4BE1-901B-1265D58F7484}" name="Criter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650CC8-95AF-4D7C-9BCE-9F25C2948D17}" name="Tbl_PlanMatriz" displayName="Tbl_PlanMatriz" ref="A1:T31" totalsRowShown="0" headerRowDxfId="17" headerRowBorderDxfId="16" tableBorderDxfId="15" totalsRowBorderDxfId="14">
  <autoFilter ref="A1:T31" xr:uid="{2D650CC8-95AF-4D7C-9BCE-9F25C2948D17}"/>
  <tableColumns count="20">
    <tableColumn id="1" xr3:uid="{D1DF08EB-DD3B-4664-827C-C5CCF598F1F7}" name="Año natural/Semana" dataDxfId="13"/>
    <tableColumn id="2" xr3:uid="{54310305-4AA1-4055-8B7D-4792B60E5064}" name="Fase" dataDxfId="12"/>
    <tableColumn id="3" xr3:uid="{D4ECB13D-4BCD-4B58-9716-0F14B9F8D3D5}" name="Proceso" dataDxfId="11"/>
    <tableColumn id="4" xr3:uid="{D3555DC2-E4C4-472E-8FC9-ADC52FF82749}" name="SubProceso" dataDxfId="10"/>
    <tableColumn id="5" xr3:uid="{9A9FF0C4-4592-4583-B05B-116EC39C7D54}" name="Gr.planif.PM" dataDxfId="9"/>
    <tableColumn id="6" xr3:uid="{55BA7079-F61C-45B2-AF16-5935B4A3A866}" name="Gr.planif" dataDxfId="8"/>
    <tableColumn id="7" xr3:uid="{47F11DDD-A560-46F5-A5E5-CAAF500B17EF}" name="Clase actividad PM" dataDxfId="7"/>
    <tableColumn id="8" xr3:uid="{B346A834-DF11-4260-9390-D13A3F433FED}" name="Actividad PM" dataDxfId="6"/>
    <tableColumn id="9" xr3:uid="{DE5803ED-C6F0-4F59-9C9A-D7E3CE224975}" name="Orden mantenimiento" dataDxfId="5"/>
    <tableColumn id="10" xr3:uid="{6727CC24-DA27-4287-A7FD-72C1294D4B8C}" name="Txt. Breve" dataDxfId="4"/>
    <tableColumn id="11" xr3:uid="{7CC8BC8B-E15E-4ED7-8454-8CCEBF21E7C9}" name="Status de Sistema" dataDxfId="3"/>
    <tableColumn id="12" xr3:uid="{23CF55AD-0DB7-487E-B132-2D6A8038C2C1}" name="Clase de orden" dataDxfId="2"/>
    <tableColumn id="13" xr3:uid="{D51FB85C-EB4F-4B1B-985B-4D20D9762C26}" name="Puesto de trabajo" dataDxfId="1"/>
    <tableColumn id="14" xr3:uid="{84CA10E2-5A51-4F10-8D15-D78A7B67E8C4}" name="Psto. Trabajo" dataDxfId="0"/>
    <tableColumn id="15" xr3:uid="{4A12388C-ECB4-443C-B6E9-E94C41D653F0}" name="% Cumpl. Plan Matriz"/>
    <tableColumn id="16" xr3:uid="{A9EFAE7E-8A93-43B4-87F7-F7F0FEBC88DC}" name="Plan Matriz"/>
    <tableColumn id="17" xr3:uid="{EBF192FE-D40C-4ABD-AA44-3258532A9F6D}" name="Coeficiente PMA"/>
    <tableColumn id="18" xr3:uid="{96CB3979-A462-44EB-AD51-9355DE51AC4E}" name="Cantidad de Operaciones Ejecutadas"/>
    <tableColumn id="19" xr3:uid="{58DFAAA7-5A73-4AE6-BA9A-1CC6CF0D794D}" name="Cantidad de Operaciones totales"/>
    <tableColumn id="20" xr3:uid="{69A4CC05-E1D6-4FCD-9D16-EDC150A65E50}" name="Crite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4FA7-B0AF-44CB-A3DB-6E1817DE0282}">
  <dimension ref="A1:Y64"/>
  <sheetViews>
    <sheetView workbookViewId="0">
      <pane ySplit="1" topLeftCell="A56" activePane="bottomLeft" state="frozen"/>
      <selection pane="bottomLeft" activeCell="E1" sqref="E1:F6"/>
    </sheetView>
  </sheetViews>
  <sheetFormatPr baseColWidth="10" defaultColWidth="9.140625" defaultRowHeight="15" x14ac:dyDescent="0.25"/>
  <cols>
    <col min="1" max="1" width="20" style="35" bestFit="1" customWidth="1"/>
    <col min="2" max="2" width="15" style="35" bestFit="1" customWidth="1"/>
    <col min="3" max="3" width="19" style="35" bestFit="1" customWidth="1"/>
    <col min="4" max="4" width="9" style="35" bestFit="1" customWidth="1"/>
    <col min="5" max="5" width="10" style="35" bestFit="1" customWidth="1"/>
    <col min="6" max="6" width="10" style="35" customWidth="1"/>
    <col min="7" max="7" width="41" style="35" bestFit="1" customWidth="1"/>
    <col min="8" max="8" width="21" style="35" bestFit="1" customWidth="1"/>
    <col min="9" max="9" width="31" style="35" bestFit="1" customWidth="1"/>
    <col min="10" max="11" width="41" style="35" bestFit="1" customWidth="1"/>
    <col min="12" max="12" width="18" style="35" bestFit="1" customWidth="1"/>
    <col min="13" max="13" width="21" style="35" bestFit="1" customWidth="1"/>
    <col min="14" max="14" width="18" style="35" bestFit="1" customWidth="1"/>
    <col min="15" max="15" width="13" style="35" bestFit="1" customWidth="1"/>
    <col min="16" max="16" width="15" style="35" bestFit="1" customWidth="1"/>
    <col min="17" max="17" width="17" style="35" bestFit="1" customWidth="1"/>
    <col min="18" max="20" width="18" style="35" bestFit="1" customWidth="1"/>
    <col min="21" max="21" width="15" style="35" bestFit="1" customWidth="1"/>
    <col min="22" max="22" width="21" style="35" bestFit="1" customWidth="1"/>
    <col min="23" max="23" width="19" style="35" bestFit="1" customWidth="1"/>
    <col min="24" max="24" width="18" style="35" bestFit="1" customWidth="1"/>
    <col min="25" max="25" width="20" style="35" bestFit="1" customWidth="1"/>
    <col min="26" max="16384" width="9.140625" style="35"/>
  </cols>
  <sheetData>
    <row r="1" spans="1:25" x14ac:dyDescent="0.25">
      <c r="A1" s="34" t="s">
        <v>419</v>
      </c>
      <c r="B1" s="34" t="s">
        <v>33</v>
      </c>
      <c r="C1" s="34" t="s">
        <v>34</v>
      </c>
      <c r="D1" s="34" t="s">
        <v>4</v>
      </c>
      <c r="E1" s="34" t="s">
        <v>420</v>
      </c>
      <c r="F1" s="34" t="s">
        <v>419</v>
      </c>
      <c r="G1" s="34" t="s">
        <v>421</v>
      </c>
      <c r="H1" s="34" t="s">
        <v>422</v>
      </c>
      <c r="I1" s="34" t="s">
        <v>423</v>
      </c>
      <c r="J1" s="34" t="s">
        <v>424</v>
      </c>
      <c r="K1" s="34" t="s">
        <v>425</v>
      </c>
      <c r="L1" s="34" t="s">
        <v>426</v>
      </c>
      <c r="M1" s="34" t="s">
        <v>427</v>
      </c>
      <c r="N1" s="34" t="s">
        <v>428</v>
      </c>
      <c r="O1" s="34" t="s">
        <v>429</v>
      </c>
      <c r="P1" s="34" t="s">
        <v>430</v>
      </c>
      <c r="Q1" s="34" t="s">
        <v>431</v>
      </c>
      <c r="R1" s="34" t="s">
        <v>432</v>
      </c>
      <c r="S1" s="34" t="s">
        <v>433</v>
      </c>
      <c r="T1" s="34" t="s">
        <v>201</v>
      </c>
      <c r="U1" s="34" t="s">
        <v>434</v>
      </c>
      <c r="V1" s="34" t="s">
        <v>435</v>
      </c>
      <c r="W1" s="34" t="s">
        <v>436</v>
      </c>
      <c r="X1" s="34" t="s">
        <v>437</v>
      </c>
      <c r="Y1" s="34" t="s">
        <v>438</v>
      </c>
    </row>
    <row r="2" spans="1:25" x14ac:dyDescent="0.25">
      <c r="A2" s="36" t="s">
        <v>410</v>
      </c>
      <c r="B2" s="36" t="s">
        <v>42</v>
      </c>
      <c r="C2" s="36" t="s">
        <v>44</v>
      </c>
      <c r="D2" s="36" t="s">
        <v>439</v>
      </c>
      <c r="E2" s="36" t="s">
        <v>301</v>
      </c>
      <c r="F2" s="36" t="s">
        <v>410</v>
      </c>
      <c r="G2" s="36" t="s">
        <v>302</v>
      </c>
      <c r="H2" s="36" t="s">
        <v>414</v>
      </c>
      <c r="I2" s="36" t="s">
        <v>440</v>
      </c>
      <c r="J2" s="36" t="s">
        <v>441</v>
      </c>
      <c r="K2" s="36" t="s">
        <v>385</v>
      </c>
      <c r="L2" s="36" t="s">
        <v>442</v>
      </c>
      <c r="M2" s="37">
        <v>46153</v>
      </c>
      <c r="N2" s="37">
        <v>46157</v>
      </c>
      <c r="O2" s="36" t="s">
        <v>443</v>
      </c>
      <c r="P2" s="36" t="s">
        <v>444</v>
      </c>
      <c r="Q2" s="37">
        <v>46145</v>
      </c>
      <c r="R2" s="37">
        <v>46140</v>
      </c>
      <c r="S2" s="37">
        <v>46153</v>
      </c>
      <c r="T2" s="37">
        <v>46153</v>
      </c>
      <c r="U2" s="37">
        <v>46165</v>
      </c>
      <c r="V2" s="36" t="s">
        <v>445</v>
      </c>
      <c r="W2" s="36" t="s">
        <v>445</v>
      </c>
      <c r="X2" s="38">
        <v>2494.34</v>
      </c>
      <c r="Y2" s="38">
        <v>2494.34</v>
      </c>
    </row>
    <row r="3" spans="1:25" x14ac:dyDescent="0.25">
      <c r="A3" s="36" t="s">
        <v>410</v>
      </c>
      <c r="B3" s="36" t="s">
        <v>146</v>
      </c>
      <c r="C3" s="36" t="s">
        <v>148</v>
      </c>
      <c r="D3" s="36" t="s">
        <v>446</v>
      </c>
      <c r="E3" s="36" t="s">
        <v>317</v>
      </c>
      <c r="F3" s="36" t="s">
        <v>410</v>
      </c>
      <c r="G3" s="36" t="s">
        <v>447</v>
      </c>
      <c r="H3" s="36" t="s">
        <v>414</v>
      </c>
      <c r="I3" s="36" t="s">
        <v>448</v>
      </c>
      <c r="J3" s="36" t="s">
        <v>449</v>
      </c>
      <c r="K3" s="36" t="s">
        <v>450</v>
      </c>
      <c r="L3" s="36" t="s">
        <v>442</v>
      </c>
      <c r="M3" s="37">
        <v>46157</v>
      </c>
      <c r="N3" s="37">
        <v>46157</v>
      </c>
      <c r="O3" s="36" t="s">
        <v>451</v>
      </c>
      <c r="P3" s="36" t="s">
        <v>444</v>
      </c>
      <c r="Q3" s="37">
        <v>46157</v>
      </c>
      <c r="R3" s="37">
        <v>46155</v>
      </c>
      <c r="S3" s="37">
        <v>46157</v>
      </c>
      <c r="T3" s="37">
        <v>46157</v>
      </c>
      <c r="U3" s="37">
        <v>46162</v>
      </c>
      <c r="V3" s="36" t="s">
        <v>445</v>
      </c>
      <c r="W3" s="36" t="s">
        <v>445</v>
      </c>
      <c r="X3" s="38">
        <v>445.3</v>
      </c>
      <c r="Y3" s="38">
        <v>445.3</v>
      </c>
    </row>
    <row r="4" spans="1:25" x14ac:dyDescent="0.25">
      <c r="A4" s="36" t="s">
        <v>410</v>
      </c>
      <c r="B4" s="36" t="s">
        <v>42</v>
      </c>
      <c r="C4" s="36" t="s">
        <v>44</v>
      </c>
      <c r="D4" s="36" t="s">
        <v>452</v>
      </c>
      <c r="E4" s="36" t="s">
        <v>282</v>
      </c>
      <c r="F4" s="36" t="s">
        <v>410</v>
      </c>
      <c r="G4" s="36" t="s">
        <v>283</v>
      </c>
      <c r="H4" s="36" t="s">
        <v>414</v>
      </c>
      <c r="I4" s="36" t="s">
        <v>453</v>
      </c>
      <c r="J4" s="36" t="s">
        <v>454</v>
      </c>
      <c r="K4" s="36" t="s">
        <v>455</v>
      </c>
      <c r="L4" s="36" t="s">
        <v>442</v>
      </c>
      <c r="M4" s="37">
        <v>46160</v>
      </c>
      <c r="N4" s="37">
        <v>46160</v>
      </c>
      <c r="O4" s="36" t="s">
        <v>456</v>
      </c>
      <c r="P4" s="36" t="s">
        <v>444</v>
      </c>
      <c r="Q4" s="37">
        <v>45680</v>
      </c>
      <c r="R4" s="37">
        <v>45679</v>
      </c>
      <c r="S4" s="37">
        <v>46160</v>
      </c>
      <c r="T4" s="37">
        <v>46160</v>
      </c>
      <c r="U4" s="37">
        <v>46166</v>
      </c>
      <c r="V4" s="36" t="s">
        <v>445</v>
      </c>
      <c r="W4" s="36" t="s">
        <v>445</v>
      </c>
      <c r="X4" s="38">
        <v>6629.26</v>
      </c>
      <c r="Y4" s="38">
        <v>6629.25</v>
      </c>
    </row>
    <row r="5" spans="1:25" x14ac:dyDescent="0.25">
      <c r="A5" s="36" t="s">
        <v>410</v>
      </c>
      <c r="B5" s="36" t="s">
        <v>42</v>
      </c>
      <c r="C5" s="36" t="s">
        <v>44</v>
      </c>
      <c r="D5" s="36" t="s">
        <v>457</v>
      </c>
      <c r="E5" s="36" t="s">
        <v>285</v>
      </c>
      <c r="F5" s="36" t="s">
        <v>410</v>
      </c>
      <c r="G5" s="36" t="s">
        <v>286</v>
      </c>
      <c r="H5" s="36" t="s">
        <v>414</v>
      </c>
      <c r="I5" s="36" t="s">
        <v>440</v>
      </c>
      <c r="J5" s="36" t="s">
        <v>441</v>
      </c>
      <c r="K5" s="36" t="s">
        <v>455</v>
      </c>
      <c r="L5" s="36" t="s">
        <v>442</v>
      </c>
      <c r="M5" s="37">
        <v>46160</v>
      </c>
      <c r="N5" s="37">
        <v>46160</v>
      </c>
      <c r="O5" s="36" t="s">
        <v>456</v>
      </c>
      <c r="P5" s="36" t="s">
        <v>444</v>
      </c>
      <c r="Q5" s="37">
        <v>45722</v>
      </c>
      <c r="R5" s="37">
        <v>45722</v>
      </c>
      <c r="S5" s="37">
        <v>46160</v>
      </c>
      <c r="T5" s="37">
        <v>46160</v>
      </c>
      <c r="U5" s="37">
        <v>46166</v>
      </c>
      <c r="V5" s="36" t="s">
        <v>445</v>
      </c>
      <c r="W5" s="36" t="s">
        <v>445</v>
      </c>
      <c r="X5" s="38">
        <v>89518.8</v>
      </c>
      <c r="Y5" s="38">
        <v>93988.3</v>
      </c>
    </row>
    <row r="6" spans="1:25" x14ac:dyDescent="0.25">
      <c r="A6" s="36" t="s">
        <v>407</v>
      </c>
      <c r="B6" s="36" t="s">
        <v>42</v>
      </c>
      <c r="C6" s="36" t="s">
        <v>44</v>
      </c>
      <c r="D6" s="36" t="s">
        <v>458</v>
      </c>
      <c r="E6" s="36" t="s">
        <v>204</v>
      </c>
      <c r="F6" s="36" t="s">
        <v>407</v>
      </c>
      <c r="G6" s="36" t="s">
        <v>205</v>
      </c>
      <c r="H6" s="36" t="s">
        <v>409</v>
      </c>
      <c r="I6" s="36" t="s">
        <v>459</v>
      </c>
      <c r="J6" s="36" t="s">
        <v>460</v>
      </c>
      <c r="K6" s="36" t="s">
        <v>385</v>
      </c>
      <c r="L6" s="36" t="s">
        <v>442</v>
      </c>
      <c r="M6" s="37">
        <v>46160</v>
      </c>
      <c r="N6" s="37">
        <v>46160</v>
      </c>
      <c r="O6" s="36" t="s">
        <v>461</v>
      </c>
      <c r="P6" s="36" t="s">
        <v>462</v>
      </c>
      <c r="Q6" s="37">
        <v>46093</v>
      </c>
      <c r="R6" s="37">
        <v>46092</v>
      </c>
      <c r="S6" s="37">
        <v>46160</v>
      </c>
      <c r="T6" s="37">
        <v>46160</v>
      </c>
      <c r="U6" s="37">
        <v>46160</v>
      </c>
      <c r="V6" s="36" t="s">
        <v>445</v>
      </c>
      <c r="W6" s="36" t="s">
        <v>445</v>
      </c>
      <c r="X6" s="38">
        <v>0.08</v>
      </c>
      <c r="Y6" s="38">
        <v>0.16</v>
      </c>
    </row>
    <row r="7" spans="1:25" x14ac:dyDescent="0.25">
      <c r="A7" s="36" t="s">
        <v>410</v>
      </c>
      <c r="B7" s="36" t="s">
        <v>42</v>
      </c>
      <c r="C7" s="36" t="s">
        <v>141</v>
      </c>
      <c r="D7" s="36" t="s">
        <v>463</v>
      </c>
      <c r="E7" s="36" t="s">
        <v>253</v>
      </c>
      <c r="F7" s="36" t="s">
        <v>410</v>
      </c>
      <c r="G7" s="36" t="s">
        <v>254</v>
      </c>
      <c r="H7" s="36" t="s">
        <v>414</v>
      </c>
      <c r="I7" s="36" t="s">
        <v>464</v>
      </c>
      <c r="J7" s="36" t="s">
        <v>465</v>
      </c>
      <c r="K7" s="36" t="s">
        <v>385</v>
      </c>
      <c r="L7" s="36" t="s">
        <v>466</v>
      </c>
      <c r="M7" s="37">
        <v>46160</v>
      </c>
      <c r="N7" s="37">
        <v>46160</v>
      </c>
      <c r="O7" s="36" t="s">
        <v>467</v>
      </c>
      <c r="P7" s="36" t="s">
        <v>468</v>
      </c>
      <c r="Q7" s="37">
        <v>46151</v>
      </c>
      <c r="R7" s="37">
        <v>46132</v>
      </c>
      <c r="S7" s="37">
        <v>46160</v>
      </c>
      <c r="T7" s="37">
        <v>46160</v>
      </c>
      <c r="U7" s="37">
        <v>46160</v>
      </c>
      <c r="V7" s="36" t="s">
        <v>469</v>
      </c>
      <c r="W7" s="36" t="s">
        <v>470</v>
      </c>
      <c r="X7" s="38">
        <v>89.11</v>
      </c>
      <c r="Y7" s="38">
        <v>89.11</v>
      </c>
    </row>
    <row r="8" spans="1:25" x14ac:dyDescent="0.25">
      <c r="A8" s="36" t="s">
        <v>410</v>
      </c>
      <c r="B8" s="36" t="s">
        <v>42</v>
      </c>
      <c r="C8" s="36" t="s">
        <v>141</v>
      </c>
      <c r="D8" s="36" t="s">
        <v>471</v>
      </c>
      <c r="E8" s="36" t="s">
        <v>263</v>
      </c>
      <c r="F8" s="36" t="s">
        <v>410</v>
      </c>
      <c r="G8" s="36" t="s">
        <v>264</v>
      </c>
      <c r="H8" s="36" t="s">
        <v>414</v>
      </c>
      <c r="I8" s="36" t="s">
        <v>472</v>
      </c>
      <c r="J8" s="36" t="s">
        <v>473</v>
      </c>
      <c r="K8" s="36" t="s">
        <v>385</v>
      </c>
      <c r="L8" s="36" t="s">
        <v>466</v>
      </c>
      <c r="M8" s="37">
        <v>46160</v>
      </c>
      <c r="N8" s="37">
        <v>46160</v>
      </c>
      <c r="O8" s="36" t="s">
        <v>467</v>
      </c>
      <c r="P8" s="36" t="s">
        <v>468</v>
      </c>
      <c r="Q8" s="37">
        <v>46151</v>
      </c>
      <c r="R8" s="37">
        <v>46132</v>
      </c>
      <c r="S8" s="37">
        <v>46160</v>
      </c>
      <c r="T8" s="37">
        <v>46160</v>
      </c>
      <c r="U8" s="37">
        <v>46160</v>
      </c>
      <c r="V8" s="36" t="s">
        <v>474</v>
      </c>
      <c r="W8" s="36" t="s">
        <v>475</v>
      </c>
      <c r="X8" s="38">
        <v>267.37</v>
      </c>
      <c r="Y8" s="38">
        <v>267.37</v>
      </c>
    </row>
    <row r="9" spans="1:25" x14ac:dyDescent="0.25">
      <c r="A9" s="36" t="s">
        <v>410</v>
      </c>
      <c r="B9" s="36" t="s">
        <v>42</v>
      </c>
      <c r="C9" s="36" t="s">
        <v>141</v>
      </c>
      <c r="D9" s="36" t="s">
        <v>476</v>
      </c>
      <c r="E9" s="36" t="s">
        <v>268</v>
      </c>
      <c r="F9" s="36" t="s">
        <v>410</v>
      </c>
      <c r="G9" s="36" t="s">
        <v>269</v>
      </c>
      <c r="H9" s="36" t="s">
        <v>414</v>
      </c>
      <c r="I9" s="36" t="s">
        <v>477</v>
      </c>
      <c r="J9" s="36" t="s">
        <v>478</v>
      </c>
      <c r="K9" s="36" t="s">
        <v>385</v>
      </c>
      <c r="L9" s="36" t="s">
        <v>466</v>
      </c>
      <c r="M9" s="37">
        <v>46160</v>
      </c>
      <c r="N9" s="37">
        <v>46160</v>
      </c>
      <c r="O9" s="36" t="s">
        <v>467</v>
      </c>
      <c r="P9" s="36" t="s">
        <v>468</v>
      </c>
      <c r="Q9" s="37">
        <v>46151</v>
      </c>
      <c r="R9" s="37">
        <v>46132</v>
      </c>
      <c r="S9" s="37">
        <v>46160</v>
      </c>
      <c r="T9" s="37">
        <v>46160</v>
      </c>
      <c r="U9" s="37">
        <v>46160</v>
      </c>
      <c r="V9" s="36" t="s">
        <v>479</v>
      </c>
      <c r="W9" s="36" t="s">
        <v>480</v>
      </c>
      <c r="X9" s="38">
        <v>0.06</v>
      </c>
      <c r="Y9" s="38">
        <v>0.06</v>
      </c>
    </row>
    <row r="10" spans="1:25" x14ac:dyDescent="0.25">
      <c r="A10" s="36" t="s">
        <v>410</v>
      </c>
      <c r="B10" s="36" t="s">
        <v>42</v>
      </c>
      <c r="C10" s="36" t="s">
        <v>44</v>
      </c>
      <c r="D10" s="36" t="s">
        <v>481</v>
      </c>
      <c r="E10" s="36" t="s">
        <v>303</v>
      </c>
      <c r="F10" s="36" t="s">
        <v>410</v>
      </c>
      <c r="G10" s="36" t="s">
        <v>304</v>
      </c>
      <c r="H10" s="36" t="s">
        <v>414</v>
      </c>
      <c r="I10" s="36" t="s">
        <v>482</v>
      </c>
      <c r="J10" s="36" t="s">
        <v>483</v>
      </c>
      <c r="K10" s="36" t="s">
        <v>484</v>
      </c>
      <c r="L10" s="36" t="s">
        <v>466</v>
      </c>
      <c r="M10" s="37">
        <v>46160</v>
      </c>
      <c r="N10" s="37">
        <v>46164</v>
      </c>
      <c r="O10" s="36" t="s">
        <v>443</v>
      </c>
      <c r="P10" s="36" t="s">
        <v>444</v>
      </c>
      <c r="Q10" s="37">
        <v>46151</v>
      </c>
      <c r="R10" s="37">
        <v>46147</v>
      </c>
      <c r="S10" s="37">
        <v>46160</v>
      </c>
      <c r="T10" s="37">
        <v>46160</v>
      </c>
      <c r="U10" s="36" t="s">
        <v>445</v>
      </c>
      <c r="V10" s="36" t="s">
        <v>445</v>
      </c>
      <c r="W10" s="36" t="s">
        <v>445</v>
      </c>
      <c r="X10" s="38">
        <v>1.33</v>
      </c>
      <c r="Y10" s="38">
        <v>1.35</v>
      </c>
    </row>
    <row r="11" spans="1:25" x14ac:dyDescent="0.25">
      <c r="A11" s="36" t="s">
        <v>410</v>
      </c>
      <c r="B11" s="36" t="s">
        <v>42</v>
      </c>
      <c r="C11" s="36" t="s">
        <v>44</v>
      </c>
      <c r="D11" s="36" t="s">
        <v>485</v>
      </c>
      <c r="E11" s="36" t="s">
        <v>310</v>
      </c>
      <c r="F11" s="36" t="s">
        <v>410</v>
      </c>
      <c r="G11" s="36" t="s">
        <v>311</v>
      </c>
      <c r="H11" s="36" t="s">
        <v>414</v>
      </c>
      <c r="I11" s="36" t="s">
        <v>440</v>
      </c>
      <c r="J11" s="36" t="s">
        <v>441</v>
      </c>
      <c r="K11" s="36" t="s">
        <v>484</v>
      </c>
      <c r="L11" s="36" t="s">
        <v>466</v>
      </c>
      <c r="M11" s="37">
        <v>46160</v>
      </c>
      <c r="N11" s="37">
        <v>46163</v>
      </c>
      <c r="O11" s="36" t="s">
        <v>443</v>
      </c>
      <c r="P11" s="36" t="s">
        <v>444</v>
      </c>
      <c r="Q11" s="37">
        <v>46151</v>
      </c>
      <c r="R11" s="37">
        <v>46147</v>
      </c>
      <c r="S11" s="37">
        <v>46160</v>
      </c>
      <c r="T11" s="37">
        <v>46160</v>
      </c>
      <c r="U11" s="36" t="s">
        <v>445</v>
      </c>
      <c r="V11" s="36" t="s">
        <v>445</v>
      </c>
      <c r="W11" s="36" t="s">
        <v>445</v>
      </c>
      <c r="X11" s="38">
        <v>7927.93</v>
      </c>
      <c r="Y11" s="38">
        <v>9263.7099999999991</v>
      </c>
    </row>
    <row r="12" spans="1:25" x14ac:dyDescent="0.25">
      <c r="A12" s="36" t="s">
        <v>410</v>
      </c>
      <c r="B12" s="36" t="s">
        <v>42</v>
      </c>
      <c r="C12" s="36" t="s">
        <v>44</v>
      </c>
      <c r="D12" s="36" t="s">
        <v>486</v>
      </c>
      <c r="E12" s="36" t="s">
        <v>312</v>
      </c>
      <c r="F12" s="36" t="s">
        <v>410</v>
      </c>
      <c r="G12" s="36" t="s">
        <v>313</v>
      </c>
      <c r="H12" s="36" t="s">
        <v>414</v>
      </c>
      <c r="I12" s="36" t="s">
        <v>487</v>
      </c>
      <c r="J12" s="36" t="s">
        <v>488</v>
      </c>
      <c r="K12" s="36" t="s">
        <v>385</v>
      </c>
      <c r="L12" s="36" t="s">
        <v>466</v>
      </c>
      <c r="M12" s="37">
        <v>46160</v>
      </c>
      <c r="N12" s="37">
        <v>46165</v>
      </c>
      <c r="O12" s="36" t="s">
        <v>443</v>
      </c>
      <c r="P12" s="36" t="s">
        <v>468</v>
      </c>
      <c r="Q12" s="37">
        <v>46151</v>
      </c>
      <c r="R12" s="37">
        <v>46147</v>
      </c>
      <c r="S12" s="37">
        <v>46160</v>
      </c>
      <c r="T12" s="37">
        <v>46160</v>
      </c>
      <c r="U12" s="37">
        <v>46162</v>
      </c>
      <c r="V12" s="36" t="s">
        <v>445</v>
      </c>
      <c r="W12" s="36" t="s">
        <v>445</v>
      </c>
      <c r="X12" s="38">
        <v>1.0900000000000001</v>
      </c>
      <c r="Y12" s="38">
        <v>1.0900000000000001</v>
      </c>
    </row>
    <row r="13" spans="1:25" x14ac:dyDescent="0.25">
      <c r="A13" s="36" t="s">
        <v>410</v>
      </c>
      <c r="B13" s="36" t="s">
        <v>42</v>
      </c>
      <c r="C13" s="36" t="s">
        <v>141</v>
      </c>
      <c r="D13" s="36" t="s">
        <v>489</v>
      </c>
      <c r="E13" s="36" t="s">
        <v>279</v>
      </c>
      <c r="F13" s="36" t="s">
        <v>410</v>
      </c>
      <c r="G13" s="36" t="s">
        <v>280</v>
      </c>
      <c r="H13" s="36" t="s">
        <v>414</v>
      </c>
      <c r="I13" s="36" t="s">
        <v>490</v>
      </c>
      <c r="J13" s="36" t="s">
        <v>491</v>
      </c>
      <c r="K13" s="36" t="s">
        <v>455</v>
      </c>
      <c r="L13" s="36" t="s">
        <v>442</v>
      </c>
      <c r="M13" s="37">
        <v>46160</v>
      </c>
      <c r="N13" s="37">
        <v>46162</v>
      </c>
      <c r="O13" s="36" t="s">
        <v>443</v>
      </c>
      <c r="P13" s="36" t="s">
        <v>444</v>
      </c>
      <c r="Q13" s="37">
        <v>46148</v>
      </c>
      <c r="R13" s="37">
        <v>46148</v>
      </c>
      <c r="S13" s="37">
        <v>46160</v>
      </c>
      <c r="T13" s="37">
        <v>46159</v>
      </c>
      <c r="U13" s="37">
        <v>46164</v>
      </c>
      <c r="V13" s="36" t="s">
        <v>492</v>
      </c>
      <c r="W13" s="36" t="s">
        <v>493</v>
      </c>
      <c r="X13" s="38">
        <v>18156.57</v>
      </c>
      <c r="Y13" s="38">
        <v>19715.27</v>
      </c>
    </row>
    <row r="14" spans="1:25" x14ac:dyDescent="0.25">
      <c r="A14" s="36" t="s">
        <v>410</v>
      </c>
      <c r="B14" s="36" t="s">
        <v>146</v>
      </c>
      <c r="C14" s="36" t="s">
        <v>148</v>
      </c>
      <c r="D14" s="36" t="s">
        <v>494</v>
      </c>
      <c r="E14" s="36" t="s">
        <v>314</v>
      </c>
      <c r="F14" s="36" t="s">
        <v>410</v>
      </c>
      <c r="G14" s="36" t="s">
        <v>315</v>
      </c>
      <c r="H14" s="36" t="s">
        <v>414</v>
      </c>
      <c r="I14" s="36" t="s">
        <v>495</v>
      </c>
      <c r="J14" s="36" t="s">
        <v>496</v>
      </c>
      <c r="K14" s="36" t="s">
        <v>450</v>
      </c>
      <c r="L14" s="36" t="s">
        <v>442</v>
      </c>
      <c r="M14" s="37">
        <v>46160</v>
      </c>
      <c r="N14" s="37">
        <v>46160</v>
      </c>
      <c r="O14" s="36" t="s">
        <v>497</v>
      </c>
      <c r="P14" s="36" t="s">
        <v>468</v>
      </c>
      <c r="Q14" s="37">
        <v>46160</v>
      </c>
      <c r="R14" s="37">
        <v>46153</v>
      </c>
      <c r="S14" s="37">
        <v>46160</v>
      </c>
      <c r="T14" s="37">
        <v>46156</v>
      </c>
      <c r="U14" s="37">
        <v>46160</v>
      </c>
      <c r="V14" s="36" t="s">
        <v>445</v>
      </c>
      <c r="W14" s="36" t="s">
        <v>445</v>
      </c>
      <c r="X14" s="38">
        <v>89.1</v>
      </c>
      <c r="Y14" s="38">
        <v>89.1</v>
      </c>
    </row>
    <row r="15" spans="1:25" x14ac:dyDescent="0.25">
      <c r="A15" s="36" t="s">
        <v>410</v>
      </c>
      <c r="B15" s="36" t="s">
        <v>146</v>
      </c>
      <c r="C15" s="36" t="s">
        <v>148</v>
      </c>
      <c r="D15" s="36" t="s">
        <v>498</v>
      </c>
      <c r="E15" s="36" t="s">
        <v>321</v>
      </c>
      <c r="F15" s="36" t="s">
        <v>410</v>
      </c>
      <c r="G15" s="36" t="s">
        <v>322</v>
      </c>
      <c r="H15" s="36" t="s">
        <v>414</v>
      </c>
      <c r="I15" s="36" t="s">
        <v>499</v>
      </c>
      <c r="J15" s="36" t="s">
        <v>500</v>
      </c>
      <c r="K15" s="36" t="s">
        <v>450</v>
      </c>
      <c r="L15" s="36" t="s">
        <v>442</v>
      </c>
      <c r="M15" s="37">
        <v>46160</v>
      </c>
      <c r="N15" s="37">
        <v>46160</v>
      </c>
      <c r="O15" s="36" t="s">
        <v>497</v>
      </c>
      <c r="P15" s="36" t="s">
        <v>468</v>
      </c>
      <c r="Q15" s="37">
        <v>46160</v>
      </c>
      <c r="R15" s="37">
        <v>46159</v>
      </c>
      <c r="S15" s="37">
        <v>46160</v>
      </c>
      <c r="T15" s="37">
        <v>46160</v>
      </c>
      <c r="U15" s="37">
        <v>46160</v>
      </c>
      <c r="V15" s="36" t="s">
        <v>445</v>
      </c>
      <c r="W15" s="36" t="s">
        <v>445</v>
      </c>
      <c r="X15" s="38">
        <v>89.1</v>
      </c>
      <c r="Y15" s="38">
        <v>89.1</v>
      </c>
    </row>
    <row r="16" spans="1:25" x14ac:dyDescent="0.25">
      <c r="A16" s="36" t="s">
        <v>410</v>
      </c>
      <c r="B16" s="36" t="s">
        <v>42</v>
      </c>
      <c r="C16" s="36" t="s">
        <v>44</v>
      </c>
      <c r="D16" s="36" t="s">
        <v>501</v>
      </c>
      <c r="E16" s="36" t="s">
        <v>287</v>
      </c>
      <c r="F16" s="36" t="s">
        <v>410</v>
      </c>
      <c r="G16" s="36" t="s">
        <v>288</v>
      </c>
      <c r="H16" s="36" t="s">
        <v>414</v>
      </c>
      <c r="I16" s="36" t="s">
        <v>440</v>
      </c>
      <c r="J16" s="36" t="s">
        <v>441</v>
      </c>
      <c r="K16" s="36" t="s">
        <v>455</v>
      </c>
      <c r="L16" s="36" t="s">
        <v>442</v>
      </c>
      <c r="M16" s="37">
        <v>46161</v>
      </c>
      <c r="N16" s="37">
        <v>46162</v>
      </c>
      <c r="O16" s="36" t="s">
        <v>456</v>
      </c>
      <c r="P16" s="36" t="s">
        <v>444</v>
      </c>
      <c r="Q16" s="37">
        <v>45734</v>
      </c>
      <c r="R16" s="37">
        <v>45734</v>
      </c>
      <c r="S16" s="37">
        <v>46161</v>
      </c>
      <c r="T16" s="37">
        <v>46161</v>
      </c>
      <c r="U16" s="37">
        <v>46166</v>
      </c>
      <c r="V16" s="36" t="s">
        <v>445</v>
      </c>
      <c r="W16" s="36" t="s">
        <v>445</v>
      </c>
      <c r="X16" s="38">
        <v>86149.71</v>
      </c>
      <c r="Y16" s="38">
        <v>86149.71</v>
      </c>
    </row>
    <row r="17" spans="1:25" x14ac:dyDescent="0.25">
      <c r="A17" s="36" t="s">
        <v>410</v>
      </c>
      <c r="B17" s="36" t="s">
        <v>42</v>
      </c>
      <c r="C17" s="36" t="s">
        <v>44</v>
      </c>
      <c r="D17" s="36" t="s">
        <v>502</v>
      </c>
      <c r="E17" s="36" t="s">
        <v>289</v>
      </c>
      <c r="F17" s="36" t="s">
        <v>410</v>
      </c>
      <c r="G17" s="36" t="s">
        <v>290</v>
      </c>
      <c r="H17" s="36" t="s">
        <v>414</v>
      </c>
      <c r="I17" s="36" t="s">
        <v>440</v>
      </c>
      <c r="J17" s="36" t="s">
        <v>441</v>
      </c>
      <c r="K17" s="36" t="s">
        <v>455</v>
      </c>
      <c r="L17" s="36" t="s">
        <v>442</v>
      </c>
      <c r="M17" s="37">
        <v>46161</v>
      </c>
      <c r="N17" s="37">
        <v>46162</v>
      </c>
      <c r="O17" s="36" t="s">
        <v>456</v>
      </c>
      <c r="P17" s="36" t="s">
        <v>444</v>
      </c>
      <c r="Q17" s="37">
        <v>45734</v>
      </c>
      <c r="R17" s="37">
        <v>45734</v>
      </c>
      <c r="S17" s="37">
        <v>46161</v>
      </c>
      <c r="T17" s="37">
        <v>46161</v>
      </c>
      <c r="U17" s="37">
        <v>46166</v>
      </c>
      <c r="V17" s="36" t="s">
        <v>445</v>
      </c>
      <c r="W17" s="36" t="s">
        <v>445</v>
      </c>
      <c r="X17" s="38">
        <v>74171.22</v>
      </c>
      <c r="Y17" s="38">
        <v>74171.22</v>
      </c>
    </row>
    <row r="18" spans="1:25" x14ac:dyDescent="0.25">
      <c r="A18" s="36" t="s">
        <v>410</v>
      </c>
      <c r="B18" s="36" t="s">
        <v>42</v>
      </c>
      <c r="C18" s="36" t="s">
        <v>44</v>
      </c>
      <c r="D18" s="36" t="s">
        <v>503</v>
      </c>
      <c r="E18" s="36" t="s">
        <v>295</v>
      </c>
      <c r="F18" s="36" t="s">
        <v>410</v>
      </c>
      <c r="G18" s="36" t="s">
        <v>296</v>
      </c>
      <c r="H18" s="36" t="s">
        <v>414</v>
      </c>
      <c r="I18" s="36" t="s">
        <v>504</v>
      </c>
      <c r="J18" s="36" t="s">
        <v>505</v>
      </c>
      <c r="K18" s="36" t="s">
        <v>455</v>
      </c>
      <c r="L18" s="36" t="s">
        <v>442</v>
      </c>
      <c r="M18" s="37">
        <v>46161</v>
      </c>
      <c r="N18" s="37">
        <v>46161</v>
      </c>
      <c r="O18" s="36" t="s">
        <v>443</v>
      </c>
      <c r="P18" s="36" t="s">
        <v>444</v>
      </c>
      <c r="Q18" s="37">
        <v>45993</v>
      </c>
      <c r="R18" s="37">
        <v>45986</v>
      </c>
      <c r="S18" s="37">
        <v>46161</v>
      </c>
      <c r="T18" s="37">
        <v>46162</v>
      </c>
      <c r="U18" s="37">
        <v>46162</v>
      </c>
      <c r="V18" s="36" t="s">
        <v>445</v>
      </c>
      <c r="W18" s="36" t="s">
        <v>445</v>
      </c>
      <c r="X18" s="38">
        <v>11985.98</v>
      </c>
      <c r="Y18" s="38">
        <v>11985.97</v>
      </c>
    </row>
    <row r="19" spans="1:25" x14ac:dyDescent="0.25">
      <c r="A19" s="36" t="s">
        <v>410</v>
      </c>
      <c r="B19" s="36" t="s">
        <v>42</v>
      </c>
      <c r="C19" s="36" t="s">
        <v>141</v>
      </c>
      <c r="D19" s="36" t="s">
        <v>506</v>
      </c>
      <c r="E19" s="36" t="s">
        <v>256</v>
      </c>
      <c r="F19" s="36" t="s">
        <v>410</v>
      </c>
      <c r="G19" s="36" t="s">
        <v>257</v>
      </c>
      <c r="H19" s="36" t="s">
        <v>414</v>
      </c>
      <c r="I19" s="36" t="s">
        <v>507</v>
      </c>
      <c r="J19" s="36" t="s">
        <v>508</v>
      </c>
      <c r="K19" s="36" t="s">
        <v>385</v>
      </c>
      <c r="L19" s="36" t="s">
        <v>466</v>
      </c>
      <c r="M19" s="37">
        <v>46161</v>
      </c>
      <c r="N19" s="37">
        <v>46161</v>
      </c>
      <c r="O19" s="36" t="s">
        <v>467</v>
      </c>
      <c r="P19" s="36" t="s">
        <v>468</v>
      </c>
      <c r="Q19" s="37">
        <v>46151</v>
      </c>
      <c r="R19" s="37">
        <v>46132</v>
      </c>
      <c r="S19" s="37">
        <v>46161</v>
      </c>
      <c r="T19" s="37">
        <v>46161</v>
      </c>
      <c r="U19" s="37">
        <v>46161</v>
      </c>
      <c r="V19" s="36" t="s">
        <v>509</v>
      </c>
      <c r="W19" s="36" t="s">
        <v>510</v>
      </c>
      <c r="X19" s="38">
        <v>89.11</v>
      </c>
      <c r="Y19" s="38">
        <v>89.11</v>
      </c>
    </row>
    <row r="20" spans="1:25" x14ac:dyDescent="0.25">
      <c r="A20" s="36" t="s">
        <v>410</v>
      </c>
      <c r="B20" s="36" t="s">
        <v>42</v>
      </c>
      <c r="C20" s="36" t="s">
        <v>141</v>
      </c>
      <c r="D20" s="36" t="s">
        <v>511</v>
      </c>
      <c r="E20" s="36" t="s">
        <v>266</v>
      </c>
      <c r="F20" s="36" t="s">
        <v>410</v>
      </c>
      <c r="G20" s="36" t="s">
        <v>267</v>
      </c>
      <c r="H20" s="36" t="s">
        <v>414</v>
      </c>
      <c r="I20" s="36" t="s">
        <v>512</v>
      </c>
      <c r="J20" s="36" t="s">
        <v>513</v>
      </c>
      <c r="K20" s="36" t="s">
        <v>385</v>
      </c>
      <c r="L20" s="36" t="s">
        <v>466</v>
      </c>
      <c r="M20" s="37">
        <v>46161</v>
      </c>
      <c r="N20" s="37">
        <v>46161</v>
      </c>
      <c r="O20" s="36" t="s">
        <v>467</v>
      </c>
      <c r="P20" s="36" t="s">
        <v>468</v>
      </c>
      <c r="Q20" s="37">
        <v>46151</v>
      </c>
      <c r="R20" s="37">
        <v>46132</v>
      </c>
      <c r="S20" s="37">
        <v>46161</v>
      </c>
      <c r="T20" s="37">
        <v>46161</v>
      </c>
      <c r="U20" s="37">
        <v>46161</v>
      </c>
      <c r="V20" s="36" t="s">
        <v>474</v>
      </c>
      <c r="W20" s="36" t="s">
        <v>514</v>
      </c>
      <c r="X20" s="38">
        <v>267.37</v>
      </c>
      <c r="Y20" s="38">
        <v>267.37</v>
      </c>
    </row>
    <row r="21" spans="1:25" x14ac:dyDescent="0.25">
      <c r="A21" s="36" t="s">
        <v>410</v>
      </c>
      <c r="B21" s="36" t="s">
        <v>42</v>
      </c>
      <c r="C21" s="36" t="s">
        <v>141</v>
      </c>
      <c r="D21" s="36" t="s">
        <v>515</v>
      </c>
      <c r="E21" s="36" t="s">
        <v>271</v>
      </c>
      <c r="F21" s="36" t="s">
        <v>410</v>
      </c>
      <c r="G21" s="36" t="s">
        <v>272</v>
      </c>
      <c r="H21" s="36" t="s">
        <v>414</v>
      </c>
      <c r="I21" s="36" t="s">
        <v>516</v>
      </c>
      <c r="J21" s="36" t="s">
        <v>517</v>
      </c>
      <c r="K21" s="36" t="s">
        <v>385</v>
      </c>
      <c r="L21" s="36" t="s">
        <v>442</v>
      </c>
      <c r="M21" s="37">
        <v>46161</v>
      </c>
      <c r="N21" s="37">
        <v>46161</v>
      </c>
      <c r="O21" s="36" t="s">
        <v>518</v>
      </c>
      <c r="P21" s="36" t="s">
        <v>468</v>
      </c>
      <c r="Q21" s="37">
        <v>46151</v>
      </c>
      <c r="R21" s="37">
        <v>46139</v>
      </c>
      <c r="S21" s="37">
        <v>46161</v>
      </c>
      <c r="T21" s="37">
        <v>46162</v>
      </c>
      <c r="U21" s="37">
        <v>46162</v>
      </c>
      <c r="V21" s="36" t="s">
        <v>519</v>
      </c>
      <c r="W21" s="36" t="s">
        <v>520</v>
      </c>
      <c r="X21" s="38">
        <v>0.03</v>
      </c>
      <c r="Y21" s="38">
        <v>0.03</v>
      </c>
    </row>
    <row r="22" spans="1:25" x14ac:dyDescent="0.25">
      <c r="A22" s="36" t="s">
        <v>410</v>
      </c>
      <c r="B22" s="36" t="s">
        <v>42</v>
      </c>
      <c r="C22" s="36" t="s">
        <v>141</v>
      </c>
      <c r="D22" s="36" t="s">
        <v>521</v>
      </c>
      <c r="E22" s="36" t="s">
        <v>276</v>
      </c>
      <c r="F22" s="36" t="s">
        <v>410</v>
      </c>
      <c r="G22" s="36" t="s">
        <v>277</v>
      </c>
      <c r="H22" s="36" t="s">
        <v>414</v>
      </c>
      <c r="I22" s="36" t="s">
        <v>522</v>
      </c>
      <c r="J22" s="36" t="s">
        <v>523</v>
      </c>
      <c r="K22" s="36" t="s">
        <v>385</v>
      </c>
      <c r="L22" s="36" t="s">
        <v>442</v>
      </c>
      <c r="M22" s="37">
        <v>46161</v>
      </c>
      <c r="N22" s="37">
        <v>46161</v>
      </c>
      <c r="O22" s="36" t="s">
        <v>524</v>
      </c>
      <c r="P22" s="36" t="s">
        <v>468</v>
      </c>
      <c r="Q22" s="37">
        <v>46151</v>
      </c>
      <c r="R22" s="37">
        <v>46148</v>
      </c>
      <c r="S22" s="37">
        <v>46161</v>
      </c>
      <c r="T22" s="37">
        <v>46163</v>
      </c>
      <c r="U22" s="37">
        <v>46163</v>
      </c>
      <c r="V22" s="36" t="s">
        <v>525</v>
      </c>
      <c r="W22" s="36" t="s">
        <v>526</v>
      </c>
      <c r="X22" s="38">
        <v>2155.39</v>
      </c>
      <c r="Y22" s="38">
        <v>2155.39</v>
      </c>
    </row>
    <row r="23" spans="1:25" x14ac:dyDescent="0.25">
      <c r="A23" s="36" t="s">
        <v>410</v>
      </c>
      <c r="B23" s="36" t="s">
        <v>146</v>
      </c>
      <c r="C23" s="36" t="s">
        <v>148</v>
      </c>
      <c r="D23" s="36" t="s">
        <v>527</v>
      </c>
      <c r="E23" s="36" t="s">
        <v>319</v>
      </c>
      <c r="F23" s="36" t="s">
        <v>410</v>
      </c>
      <c r="G23" s="36" t="s">
        <v>320</v>
      </c>
      <c r="H23" s="36" t="s">
        <v>414</v>
      </c>
      <c r="I23" s="36" t="s">
        <v>528</v>
      </c>
      <c r="J23" s="36" t="s">
        <v>529</v>
      </c>
      <c r="K23" s="36" t="s">
        <v>450</v>
      </c>
      <c r="L23" s="36" t="s">
        <v>466</v>
      </c>
      <c r="M23" s="37">
        <v>46161</v>
      </c>
      <c r="N23" s="37">
        <v>46161</v>
      </c>
      <c r="O23" s="36" t="s">
        <v>497</v>
      </c>
      <c r="P23" s="36" t="s">
        <v>468</v>
      </c>
      <c r="Q23" s="37">
        <v>46161</v>
      </c>
      <c r="R23" s="37">
        <v>46156</v>
      </c>
      <c r="S23" s="37">
        <v>46161</v>
      </c>
      <c r="T23" s="37">
        <v>46161</v>
      </c>
      <c r="U23" s="37">
        <v>46161</v>
      </c>
      <c r="V23" s="36" t="s">
        <v>445</v>
      </c>
      <c r="W23" s="36" t="s">
        <v>445</v>
      </c>
      <c r="X23" s="38">
        <v>0.04</v>
      </c>
      <c r="Y23" s="38">
        <v>0.04</v>
      </c>
    </row>
    <row r="24" spans="1:25" x14ac:dyDescent="0.25">
      <c r="A24" s="36" t="s">
        <v>410</v>
      </c>
      <c r="B24" s="36" t="s">
        <v>146</v>
      </c>
      <c r="C24" s="36" t="s">
        <v>148</v>
      </c>
      <c r="D24" s="36" t="s">
        <v>530</v>
      </c>
      <c r="E24" s="36" t="s">
        <v>323</v>
      </c>
      <c r="F24" s="36" t="s">
        <v>410</v>
      </c>
      <c r="G24" s="36" t="s">
        <v>324</v>
      </c>
      <c r="H24" s="36" t="s">
        <v>414</v>
      </c>
      <c r="I24" s="36" t="s">
        <v>531</v>
      </c>
      <c r="J24" s="36" t="s">
        <v>505</v>
      </c>
      <c r="K24" s="36" t="s">
        <v>450</v>
      </c>
      <c r="L24" s="36" t="s">
        <v>442</v>
      </c>
      <c r="M24" s="37">
        <v>46161</v>
      </c>
      <c r="N24" s="37">
        <v>46161</v>
      </c>
      <c r="O24" s="36" t="s">
        <v>451</v>
      </c>
      <c r="P24" s="36" t="s">
        <v>468</v>
      </c>
      <c r="Q24" s="37">
        <v>46161</v>
      </c>
      <c r="R24" s="37">
        <v>46160</v>
      </c>
      <c r="S24" s="37">
        <v>46161</v>
      </c>
      <c r="T24" s="37">
        <v>46161</v>
      </c>
      <c r="U24" s="37">
        <v>46161</v>
      </c>
      <c r="V24" s="36" t="s">
        <v>445</v>
      </c>
      <c r="W24" s="36" t="s">
        <v>445</v>
      </c>
      <c r="X24" s="38">
        <v>445.3</v>
      </c>
      <c r="Y24" s="38">
        <v>445.3</v>
      </c>
    </row>
    <row r="25" spans="1:25" x14ac:dyDescent="0.25">
      <c r="A25" s="36" t="s">
        <v>410</v>
      </c>
      <c r="B25" s="36" t="s">
        <v>42</v>
      </c>
      <c r="C25" s="36" t="s">
        <v>44</v>
      </c>
      <c r="D25" s="36" t="s">
        <v>532</v>
      </c>
      <c r="E25" s="36" t="s">
        <v>291</v>
      </c>
      <c r="F25" s="36" t="s">
        <v>410</v>
      </c>
      <c r="G25" s="36" t="s">
        <v>292</v>
      </c>
      <c r="H25" s="36" t="s">
        <v>414</v>
      </c>
      <c r="I25" s="36" t="s">
        <v>533</v>
      </c>
      <c r="J25" s="36" t="s">
        <v>534</v>
      </c>
      <c r="K25" s="36" t="s">
        <v>455</v>
      </c>
      <c r="L25" s="36" t="s">
        <v>442</v>
      </c>
      <c r="M25" s="37">
        <v>46162</v>
      </c>
      <c r="N25" s="37">
        <v>46162</v>
      </c>
      <c r="O25" s="36" t="s">
        <v>456</v>
      </c>
      <c r="P25" s="36" t="s">
        <v>444</v>
      </c>
      <c r="Q25" s="37">
        <v>45789</v>
      </c>
      <c r="R25" s="37">
        <v>45782</v>
      </c>
      <c r="S25" s="37">
        <v>46162</v>
      </c>
      <c r="T25" s="37">
        <v>46162</v>
      </c>
      <c r="U25" s="37">
        <v>46166</v>
      </c>
      <c r="V25" s="36" t="s">
        <v>445</v>
      </c>
      <c r="W25" s="36" t="s">
        <v>445</v>
      </c>
      <c r="X25" s="38">
        <v>4758.25</v>
      </c>
      <c r="Y25" s="38">
        <v>6270.39</v>
      </c>
    </row>
    <row r="26" spans="1:25" x14ac:dyDescent="0.25">
      <c r="A26" s="36" t="s">
        <v>410</v>
      </c>
      <c r="B26" s="36" t="s">
        <v>42</v>
      </c>
      <c r="C26" s="36" t="s">
        <v>44</v>
      </c>
      <c r="D26" s="36" t="s">
        <v>535</v>
      </c>
      <c r="E26" s="36" t="s">
        <v>293</v>
      </c>
      <c r="F26" s="36" t="s">
        <v>410</v>
      </c>
      <c r="G26" s="36" t="s">
        <v>294</v>
      </c>
      <c r="H26" s="36" t="s">
        <v>414</v>
      </c>
      <c r="I26" s="36" t="s">
        <v>536</v>
      </c>
      <c r="J26" s="36" t="s">
        <v>537</v>
      </c>
      <c r="K26" s="36" t="s">
        <v>455</v>
      </c>
      <c r="L26" s="36" t="s">
        <v>442</v>
      </c>
      <c r="M26" s="37">
        <v>46162</v>
      </c>
      <c r="N26" s="37">
        <v>46162</v>
      </c>
      <c r="O26" s="36" t="s">
        <v>456</v>
      </c>
      <c r="P26" s="36" t="s">
        <v>444</v>
      </c>
      <c r="Q26" s="37">
        <v>45789</v>
      </c>
      <c r="R26" s="37">
        <v>45783</v>
      </c>
      <c r="S26" s="37">
        <v>46162</v>
      </c>
      <c r="T26" s="37">
        <v>46162</v>
      </c>
      <c r="U26" s="37">
        <v>46166</v>
      </c>
      <c r="V26" s="36" t="s">
        <v>445</v>
      </c>
      <c r="W26" s="36" t="s">
        <v>445</v>
      </c>
      <c r="X26" s="38">
        <v>1282.42</v>
      </c>
      <c r="Y26" s="38">
        <v>1815.17</v>
      </c>
    </row>
    <row r="27" spans="1:25" x14ac:dyDescent="0.25">
      <c r="A27" s="36" t="s">
        <v>407</v>
      </c>
      <c r="B27" s="36" t="s">
        <v>42</v>
      </c>
      <c r="C27" s="36" t="s">
        <v>44</v>
      </c>
      <c r="D27" s="36" t="s">
        <v>538</v>
      </c>
      <c r="E27" s="36" t="s">
        <v>354</v>
      </c>
      <c r="F27" s="36" t="s">
        <v>407</v>
      </c>
      <c r="G27" s="36" t="s">
        <v>355</v>
      </c>
      <c r="H27" s="36" t="s">
        <v>409</v>
      </c>
      <c r="I27" s="36" t="s">
        <v>539</v>
      </c>
      <c r="J27" s="36" t="s">
        <v>540</v>
      </c>
      <c r="K27" s="36" t="s">
        <v>385</v>
      </c>
      <c r="L27" s="36" t="s">
        <v>442</v>
      </c>
      <c r="M27" s="37">
        <v>46162</v>
      </c>
      <c r="N27" s="37">
        <v>46162</v>
      </c>
      <c r="O27" s="36" t="s">
        <v>461</v>
      </c>
      <c r="P27" s="36" t="s">
        <v>541</v>
      </c>
      <c r="Q27" s="37">
        <v>46137</v>
      </c>
      <c r="R27" s="37">
        <v>46128</v>
      </c>
      <c r="S27" s="37">
        <v>46162</v>
      </c>
      <c r="T27" s="37">
        <v>46162</v>
      </c>
      <c r="U27" s="37">
        <v>46162</v>
      </c>
      <c r="V27" s="36" t="s">
        <v>445</v>
      </c>
      <c r="W27" s="36" t="s">
        <v>445</v>
      </c>
      <c r="X27" s="38">
        <v>0.02</v>
      </c>
      <c r="Y27" s="38">
        <v>0.02</v>
      </c>
    </row>
    <row r="28" spans="1:25" x14ac:dyDescent="0.25">
      <c r="A28" s="36" t="s">
        <v>407</v>
      </c>
      <c r="B28" s="36" t="s">
        <v>42</v>
      </c>
      <c r="C28" s="36" t="s">
        <v>44</v>
      </c>
      <c r="D28" s="36" t="s">
        <v>542</v>
      </c>
      <c r="E28" s="36" t="s">
        <v>356</v>
      </c>
      <c r="F28" s="36" t="s">
        <v>407</v>
      </c>
      <c r="G28" s="36" t="s">
        <v>357</v>
      </c>
      <c r="H28" s="36" t="s">
        <v>409</v>
      </c>
      <c r="I28" s="36" t="s">
        <v>543</v>
      </c>
      <c r="J28" s="36" t="s">
        <v>544</v>
      </c>
      <c r="K28" s="36" t="s">
        <v>385</v>
      </c>
      <c r="L28" s="36" t="s">
        <v>442</v>
      </c>
      <c r="M28" s="37">
        <v>46162</v>
      </c>
      <c r="N28" s="37">
        <v>46162</v>
      </c>
      <c r="O28" s="36" t="s">
        <v>461</v>
      </c>
      <c r="P28" s="36" t="s">
        <v>541</v>
      </c>
      <c r="Q28" s="37">
        <v>46137</v>
      </c>
      <c r="R28" s="37">
        <v>46128</v>
      </c>
      <c r="S28" s="37">
        <v>46162</v>
      </c>
      <c r="T28" s="37">
        <v>46162</v>
      </c>
      <c r="U28" s="37">
        <v>46162</v>
      </c>
      <c r="V28" s="36" t="s">
        <v>445</v>
      </c>
      <c r="W28" s="36" t="s">
        <v>445</v>
      </c>
      <c r="X28" s="38">
        <v>0.02</v>
      </c>
      <c r="Y28" s="38">
        <v>0.02</v>
      </c>
    </row>
    <row r="29" spans="1:25" x14ac:dyDescent="0.25">
      <c r="A29" s="36" t="s">
        <v>410</v>
      </c>
      <c r="B29" s="36" t="s">
        <v>42</v>
      </c>
      <c r="C29" s="36" t="s">
        <v>141</v>
      </c>
      <c r="D29" s="36" t="s">
        <v>545</v>
      </c>
      <c r="E29" s="36" t="s">
        <v>343</v>
      </c>
      <c r="F29" s="36" t="s">
        <v>410</v>
      </c>
      <c r="G29" s="36" t="s">
        <v>344</v>
      </c>
      <c r="H29" s="36" t="s">
        <v>414</v>
      </c>
      <c r="I29" s="36" t="s">
        <v>546</v>
      </c>
      <c r="J29" s="36" t="s">
        <v>547</v>
      </c>
      <c r="K29" s="36" t="s">
        <v>548</v>
      </c>
      <c r="L29" s="36" t="s">
        <v>442</v>
      </c>
      <c r="M29" s="37">
        <v>46162</v>
      </c>
      <c r="N29" s="37">
        <v>46162</v>
      </c>
      <c r="O29" s="36" t="s">
        <v>467</v>
      </c>
      <c r="P29" s="36" t="s">
        <v>443</v>
      </c>
      <c r="Q29" s="37">
        <v>46147</v>
      </c>
      <c r="R29" s="37">
        <v>46132</v>
      </c>
      <c r="S29" s="37">
        <v>46162</v>
      </c>
      <c r="T29" s="37">
        <v>46165</v>
      </c>
      <c r="U29" s="37">
        <v>46165</v>
      </c>
      <c r="V29" s="36" t="s">
        <v>549</v>
      </c>
      <c r="W29" s="36" t="s">
        <v>550</v>
      </c>
      <c r="X29" s="38">
        <v>0.18</v>
      </c>
      <c r="Y29" s="38">
        <v>0.18</v>
      </c>
    </row>
    <row r="30" spans="1:25" x14ac:dyDescent="0.25">
      <c r="A30" s="36" t="s">
        <v>410</v>
      </c>
      <c r="B30" s="36" t="s">
        <v>42</v>
      </c>
      <c r="C30" s="36" t="s">
        <v>141</v>
      </c>
      <c r="D30" s="36" t="s">
        <v>551</v>
      </c>
      <c r="E30" s="36" t="s">
        <v>258</v>
      </c>
      <c r="F30" s="36" t="s">
        <v>410</v>
      </c>
      <c r="G30" s="36" t="s">
        <v>259</v>
      </c>
      <c r="H30" s="36" t="s">
        <v>414</v>
      </c>
      <c r="I30" s="36" t="s">
        <v>552</v>
      </c>
      <c r="J30" s="36" t="s">
        <v>553</v>
      </c>
      <c r="K30" s="36" t="s">
        <v>385</v>
      </c>
      <c r="L30" s="36" t="s">
        <v>466</v>
      </c>
      <c r="M30" s="37">
        <v>46162</v>
      </c>
      <c r="N30" s="37">
        <v>46162</v>
      </c>
      <c r="O30" s="36" t="s">
        <v>467</v>
      </c>
      <c r="P30" s="36" t="s">
        <v>468</v>
      </c>
      <c r="Q30" s="37">
        <v>46151</v>
      </c>
      <c r="R30" s="37">
        <v>46132</v>
      </c>
      <c r="S30" s="37">
        <v>46162</v>
      </c>
      <c r="T30" s="37">
        <v>46161</v>
      </c>
      <c r="U30" s="37">
        <v>46162</v>
      </c>
      <c r="V30" s="36" t="s">
        <v>554</v>
      </c>
      <c r="W30" s="36" t="s">
        <v>555</v>
      </c>
      <c r="X30" s="38">
        <v>89.2</v>
      </c>
      <c r="Y30" s="38">
        <v>89.2</v>
      </c>
    </row>
    <row r="31" spans="1:25" x14ac:dyDescent="0.25">
      <c r="A31" s="36" t="s">
        <v>410</v>
      </c>
      <c r="B31" s="36" t="s">
        <v>42</v>
      </c>
      <c r="C31" s="36" t="s">
        <v>141</v>
      </c>
      <c r="D31" s="36" t="s">
        <v>556</v>
      </c>
      <c r="E31" s="36" t="s">
        <v>274</v>
      </c>
      <c r="F31" s="36" t="s">
        <v>410</v>
      </c>
      <c r="G31" s="36" t="s">
        <v>275</v>
      </c>
      <c r="H31" s="36" t="s">
        <v>414</v>
      </c>
      <c r="I31" s="36" t="s">
        <v>557</v>
      </c>
      <c r="J31" s="36" t="s">
        <v>558</v>
      </c>
      <c r="K31" s="36" t="s">
        <v>385</v>
      </c>
      <c r="L31" s="36" t="s">
        <v>442</v>
      </c>
      <c r="M31" s="37">
        <v>46162</v>
      </c>
      <c r="N31" s="37">
        <v>46162</v>
      </c>
      <c r="O31" s="36" t="s">
        <v>518</v>
      </c>
      <c r="P31" s="36" t="s">
        <v>468</v>
      </c>
      <c r="Q31" s="37">
        <v>46151</v>
      </c>
      <c r="R31" s="37">
        <v>46139</v>
      </c>
      <c r="S31" s="37">
        <v>46162</v>
      </c>
      <c r="T31" s="37">
        <v>46161</v>
      </c>
      <c r="U31" s="37">
        <v>46161</v>
      </c>
      <c r="V31" s="36" t="s">
        <v>519</v>
      </c>
      <c r="W31" s="36" t="s">
        <v>559</v>
      </c>
      <c r="X31" s="38">
        <v>0.03</v>
      </c>
      <c r="Y31" s="38">
        <v>0.03</v>
      </c>
    </row>
    <row r="32" spans="1:25" x14ac:dyDescent="0.25">
      <c r="A32" s="36" t="s">
        <v>407</v>
      </c>
      <c r="B32" s="36" t="s">
        <v>42</v>
      </c>
      <c r="C32" s="36" t="s">
        <v>44</v>
      </c>
      <c r="D32" s="36" t="s">
        <v>560</v>
      </c>
      <c r="E32" s="36" t="s">
        <v>208</v>
      </c>
      <c r="F32" s="36" t="s">
        <v>407</v>
      </c>
      <c r="G32" s="36" t="s">
        <v>209</v>
      </c>
      <c r="H32" s="36" t="s">
        <v>409</v>
      </c>
      <c r="I32" s="36" t="s">
        <v>561</v>
      </c>
      <c r="J32" s="36" t="s">
        <v>562</v>
      </c>
      <c r="K32" s="36" t="s">
        <v>563</v>
      </c>
      <c r="L32" s="36" t="s">
        <v>466</v>
      </c>
      <c r="M32" s="37">
        <v>46162</v>
      </c>
      <c r="N32" s="37">
        <v>46173</v>
      </c>
      <c r="O32" s="36" t="s">
        <v>461</v>
      </c>
      <c r="P32" s="36" t="s">
        <v>564</v>
      </c>
      <c r="Q32" s="37">
        <v>46149</v>
      </c>
      <c r="R32" s="37">
        <v>46149</v>
      </c>
      <c r="S32" s="37">
        <v>46162</v>
      </c>
      <c r="T32" s="37">
        <v>46162</v>
      </c>
      <c r="U32" s="36" t="s">
        <v>445</v>
      </c>
      <c r="V32" s="36" t="s">
        <v>445</v>
      </c>
      <c r="W32" s="36" t="s">
        <v>445</v>
      </c>
      <c r="X32" s="38">
        <v>0.32</v>
      </c>
      <c r="Y32" s="38">
        <v>0.96</v>
      </c>
    </row>
    <row r="33" spans="1:25" x14ac:dyDescent="0.25">
      <c r="A33" s="36" t="s">
        <v>410</v>
      </c>
      <c r="B33" s="36" t="s">
        <v>146</v>
      </c>
      <c r="C33" s="36" t="s">
        <v>148</v>
      </c>
      <c r="D33" s="36" t="s">
        <v>565</v>
      </c>
      <c r="E33" s="36" t="s">
        <v>326</v>
      </c>
      <c r="F33" s="36" t="s">
        <v>410</v>
      </c>
      <c r="G33" s="36" t="s">
        <v>327</v>
      </c>
      <c r="H33" s="36" t="s">
        <v>414</v>
      </c>
      <c r="I33" s="36" t="s">
        <v>566</v>
      </c>
      <c r="J33" s="36" t="s">
        <v>567</v>
      </c>
      <c r="K33" s="36" t="s">
        <v>450</v>
      </c>
      <c r="L33" s="36" t="s">
        <v>442</v>
      </c>
      <c r="M33" s="37">
        <v>46162</v>
      </c>
      <c r="N33" s="37">
        <v>46162</v>
      </c>
      <c r="O33" s="36" t="s">
        <v>568</v>
      </c>
      <c r="P33" s="36" t="s">
        <v>468</v>
      </c>
      <c r="Q33" s="37">
        <v>46161</v>
      </c>
      <c r="R33" s="37">
        <v>46161</v>
      </c>
      <c r="S33" s="37">
        <v>46162</v>
      </c>
      <c r="T33" s="37">
        <v>46161</v>
      </c>
      <c r="U33" s="37">
        <v>46161</v>
      </c>
      <c r="V33" s="36" t="s">
        <v>445</v>
      </c>
      <c r="W33" s="36" t="s">
        <v>445</v>
      </c>
      <c r="X33" s="38">
        <v>178.12</v>
      </c>
      <c r="Y33" s="38">
        <v>178.12</v>
      </c>
    </row>
    <row r="34" spans="1:25" x14ac:dyDescent="0.25">
      <c r="A34" s="36" t="s">
        <v>410</v>
      </c>
      <c r="B34" s="36" t="s">
        <v>42</v>
      </c>
      <c r="C34" s="36" t="s">
        <v>44</v>
      </c>
      <c r="D34" s="36" t="s">
        <v>569</v>
      </c>
      <c r="E34" s="36" t="s">
        <v>297</v>
      </c>
      <c r="F34" s="36" t="s">
        <v>410</v>
      </c>
      <c r="G34" s="36" t="s">
        <v>298</v>
      </c>
      <c r="H34" s="36" t="s">
        <v>414</v>
      </c>
      <c r="I34" s="36" t="s">
        <v>570</v>
      </c>
      <c r="J34" s="36" t="s">
        <v>571</v>
      </c>
      <c r="K34" s="36" t="s">
        <v>455</v>
      </c>
      <c r="L34" s="36" t="s">
        <v>442</v>
      </c>
      <c r="M34" s="37">
        <v>46163</v>
      </c>
      <c r="N34" s="37">
        <v>46163</v>
      </c>
      <c r="O34" s="36" t="s">
        <v>443</v>
      </c>
      <c r="P34" s="36" t="s">
        <v>444</v>
      </c>
      <c r="Q34" s="37">
        <v>45993</v>
      </c>
      <c r="R34" s="37">
        <v>45992</v>
      </c>
      <c r="S34" s="37">
        <v>46163</v>
      </c>
      <c r="T34" s="37">
        <v>46163</v>
      </c>
      <c r="U34" s="37">
        <v>46166</v>
      </c>
      <c r="V34" s="36" t="s">
        <v>445</v>
      </c>
      <c r="W34" s="36" t="s">
        <v>445</v>
      </c>
      <c r="X34" s="38">
        <v>11985.97</v>
      </c>
      <c r="Y34" s="38">
        <v>11985.97</v>
      </c>
    </row>
    <row r="35" spans="1:25" x14ac:dyDescent="0.25">
      <c r="A35" s="36" t="s">
        <v>410</v>
      </c>
      <c r="B35" s="36" t="s">
        <v>42</v>
      </c>
      <c r="C35" s="36" t="s">
        <v>44</v>
      </c>
      <c r="D35" s="36" t="s">
        <v>572</v>
      </c>
      <c r="E35" s="36" t="s">
        <v>299</v>
      </c>
      <c r="F35" s="36" t="s">
        <v>410</v>
      </c>
      <c r="G35" s="36" t="s">
        <v>300</v>
      </c>
      <c r="H35" s="36" t="s">
        <v>414</v>
      </c>
      <c r="I35" s="36" t="s">
        <v>573</v>
      </c>
      <c r="J35" s="36" t="s">
        <v>571</v>
      </c>
      <c r="K35" s="36" t="s">
        <v>455</v>
      </c>
      <c r="L35" s="36" t="s">
        <v>442</v>
      </c>
      <c r="M35" s="37">
        <v>46163</v>
      </c>
      <c r="N35" s="37">
        <v>46163</v>
      </c>
      <c r="O35" s="36" t="s">
        <v>443</v>
      </c>
      <c r="P35" s="36" t="s">
        <v>444</v>
      </c>
      <c r="Q35" s="37">
        <v>45993</v>
      </c>
      <c r="R35" s="37">
        <v>45992</v>
      </c>
      <c r="S35" s="37">
        <v>46163</v>
      </c>
      <c r="T35" s="37">
        <v>46163</v>
      </c>
      <c r="U35" s="37">
        <v>46166</v>
      </c>
      <c r="V35" s="36" t="s">
        <v>445</v>
      </c>
      <c r="W35" s="36" t="s">
        <v>445</v>
      </c>
      <c r="X35" s="38">
        <v>11985.97</v>
      </c>
      <c r="Y35" s="38">
        <v>11985.97</v>
      </c>
    </row>
    <row r="36" spans="1:25" x14ac:dyDescent="0.25">
      <c r="A36" s="36" t="s">
        <v>407</v>
      </c>
      <c r="B36" s="36" t="s">
        <v>42</v>
      </c>
      <c r="C36" s="36" t="s">
        <v>141</v>
      </c>
      <c r="D36" s="36" t="s">
        <v>574</v>
      </c>
      <c r="E36" s="36" t="s">
        <v>211</v>
      </c>
      <c r="F36" s="36" t="s">
        <v>407</v>
      </c>
      <c r="G36" s="36" t="s">
        <v>212</v>
      </c>
      <c r="H36" s="36" t="s">
        <v>409</v>
      </c>
      <c r="I36" s="36" t="s">
        <v>575</v>
      </c>
      <c r="J36" s="36" t="s">
        <v>576</v>
      </c>
      <c r="K36" s="36" t="s">
        <v>385</v>
      </c>
      <c r="L36" s="36" t="s">
        <v>442</v>
      </c>
      <c r="M36" s="37">
        <v>46163</v>
      </c>
      <c r="N36" s="37">
        <v>46163</v>
      </c>
      <c r="O36" s="36" t="s">
        <v>577</v>
      </c>
      <c r="P36" s="36" t="s">
        <v>564</v>
      </c>
      <c r="Q36" s="37">
        <v>46155</v>
      </c>
      <c r="R36" s="37">
        <v>46069</v>
      </c>
      <c r="S36" s="37">
        <v>46163</v>
      </c>
      <c r="T36" s="37">
        <v>46163</v>
      </c>
      <c r="U36" s="37">
        <v>46165</v>
      </c>
      <c r="V36" s="36" t="s">
        <v>578</v>
      </c>
      <c r="W36" s="36" t="s">
        <v>579</v>
      </c>
      <c r="X36" s="38">
        <v>1030</v>
      </c>
      <c r="Y36" s="38">
        <v>1030</v>
      </c>
    </row>
    <row r="37" spans="1:25" x14ac:dyDescent="0.25">
      <c r="A37" s="36" t="s">
        <v>410</v>
      </c>
      <c r="B37" s="36" t="s">
        <v>42</v>
      </c>
      <c r="C37" s="36" t="s">
        <v>141</v>
      </c>
      <c r="D37" s="36" t="s">
        <v>580</v>
      </c>
      <c r="E37" s="36" t="s">
        <v>247</v>
      </c>
      <c r="F37" s="36" t="s">
        <v>410</v>
      </c>
      <c r="G37" s="36" t="s">
        <v>248</v>
      </c>
      <c r="H37" s="36" t="s">
        <v>414</v>
      </c>
      <c r="I37" s="36" t="s">
        <v>581</v>
      </c>
      <c r="J37" s="36" t="s">
        <v>582</v>
      </c>
      <c r="K37" s="36" t="s">
        <v>385</v>
      </c>
      <c r="L37" s="36" t="s">
        <v>442</v>
      </c>
      <c r="M37" s="37">
        <v>46163</v>
      </c>
      <c r="N37" s="37">
        <v>46163</v>
      </c>
      <c r="O37" s="36" t="s">
        <v>467</v>
      </c>
      <c r="P37" s="36" t="s">
        <v>468</v>
      </c>
      <c r="Q37" s="37">
        <v>46151</v>
      </c>
      <c r="R37" s="37">
        <v>46132</v>
      </c>
      <c r="S37" s="37">
        <v>46163</v>
      </c>
      <c r="T37" s="37">
        <v>46162</v>
      </c>
      <c r="U37" s="37">
        <v>46162</v>
      </c>
      <c r="V37" s="36" t="s">
        <v>583</v>
      </c>
      <c r="W37" s="36" t="s">
        <v>584</v>
      </c>
      <c r="X37" s="38">
        <v>89.12</v>
      </c>
      <c r="Y37" s="38">
        <v>89.12</v>
      </c>
    </row>
    <row r="38" spans="1:25" x14ac:dyDescent="0.25">
      <c r="A38" s="36" t="s">
        <v>410</v>
      </c>
      <c r="B38" s="36" t="s">
        <v>42</v>
      </c>
      <c r="C38" s="36" t="s">
        <v>141</v>
      </c>
      <c r="D38" s="36" t="s">
        <v>585</v>
      </c>
      <c r="E38" s="36" t="s">
        <v>250</v>
      </c>
      <c r="F38" s="36" t="s">
        <v>410</v>
      </c>
      <c r="G38" s="36" t="s">
        <v>251</v>
      </c>
      <c r="H38" s="36" t="s">
        <v>414</v>
      </c>
      <c r="I38" s="36" t="s">
        <v>586</v>
      </c>
      <c r="J38" s="36" t="s">
        <v>587</v>
      </c>
      <c r="K38" s="36" t="s">
        <v>385</v>
      </c>
      <c r="L38" s="36" t="s">
        <v>466</v>
      </c>
      <c r="M38" s="37">
        <v>46163</v>
      </c>
      <c r="N38" s="37">
        <v>46163</v>
      </c>
      <c r="O38" s="36" t="s">
        <v>467</v>
      </c>
      <c r="P38" s="36" t="s">
        <v>468</v>
      </c>
      <c r="Q38" s="37">
        <v>46151</v>
      </c>
      <c r="R38" s="37">
        <v>46132</v>
      </c>
      <c r="S38" s="37">
        <v>46163</v>
      </c>
      <c r="T38" s="37">
        <v>46161</v>
      </c>
      <c r="U38" s="37">
        <v>46161</v>
      </c>
      <c r="V38" s="36" t="s">
        <v>588</v>
      </c>
      <c r="W38" s="36" t="s">
        <v>589</v>
      </c>
      <c r="X38" s="38">
        <v>89.12</v>
      </c>
      <c r="Y38" s="38">
        <v>89.12</v>
      </c>
    </row>
    <row r="39" spans="1:25" x14ac:dyDescent="0.25">
      <c r="A39" s="36" t="s">
        <v>407</v>
      </c>
      <c r="B39" s="36" t="s">
        <v>42</v>
      </c>
      <c r="C39" s="36" t="s">
        <v>181</v>
      </c>
      <c r="D39" s="36" t="s">
        <v>590</v>
      </c>
      <c r="E39" s="36" t="s">
        <v>349</v>
      </c>
      <c r="F39" s="36" t="s">
        <v>407</v>
      </c>
      <c r="G39" s="36" t="s">
        <v>350</v>
      </c>
      <c r="H39" s="36" t="s">
        <v>409</v>
      </c>
      <c r="I39" s="36" t="s">
        <v>591</v>
      </c>
      <c r="J39" s="36" t="s">
        <v>592</v>
      </c>
      <c r="K39" s="36" t="s">
        <v>385</v>
      </c>
      <c r="L39" s="36" t="s">
        <v>442</v>
      </c>
      <c r="M39" s="37">
        <v>46163</v>
      </c>
      <c r="N39" s="37">
        <v>46163</v>
      </c>
      <c r="O39" s="36" t="s">
        <v>593</v>
      </c>
      <c r="P39" s="36" t="s">
        <v>541</v>
      </c>
      <c r="Q39" s="37">
        <v>46155</v>
      </c>
      <c r="R39" s="37">
        <v>46147</v>
      </c>
      <c r="S39" s="37">
        <v>46163</v>
      </c>
      <c r="T39" s="37">
        <v>46163</v>
      </c>
      <c r="U39" s="37">
        <v>46163</v>
      </c>
      <c r="V39" s="36" t="s">
        <v>594</v>
      </c>
      <c r="W39" s="36" t="s">
        <v>595</v>
      </c>
      <c r="X39" s="38">
        <v>0.03</v>
      </c>
      <c r="Y39" s="38">
        <v>0.03</v>
      </c>
    </row>
    <row r="40" spans="1:25" x14ac:dyDescent="0.25">
      <c r="A40" s="36" t="s">
        <v>407</v>
      </c>
      <c r="B40" s="36" t="s">
        <v>42</v>
      </c>
      <c r="C40" s="36" t="s">
        <v>44</v>
      </c>
      <c r="D40" s="36" t="s">
        <v>596</v>
      </c>
      <c r="E40" s="36" t="s">
        <v>230</v>
      </c>
      <c r="F40" s="36" t="s">
        <v>407</v>
      </c>
      <c r="G40" s="36" t="s">
        <v>231</v>
      </c>
      <c r="H40" s="36" t="s">
        <v>409</v>
      </c>
      <c r="I40" s="36" t="s">
        <v>597</v>
      </c>
      <c r="J40" s="36" t="s">
        <v>598</v>
      </c>
      <c r="K40" s="36" t="s">
        <v>385</v>
      </c>
      <c r="L40" s="36" t="s">
        <v>442</v>
      </c>
      <c r="M40" s="37">
        <v>46164</v>
      </c>
      <c r="N40" s="37">
        <v>46164</v>
      </c>
      <c r="O40" s="36" t="s">
        <v>599</v>
      </c>
      <c r="P40" s="36" t="s">
        <v>600</v>
      </c>
      <c r="Q40" s="37">
        <v>46091</v>
      </c>
      <c r="R40" s="37">
        <v>46091</v>
      </c>
      <c r="S40" s="37">
        <v>46164</v>
      </c>
      <c r="T40" s="37">
        <v>46164</v>
      </c>
      <c r="U40" s="37">
        <v>46164</v>
      </c>
      <c r="V40" s="36" t="s">
        <v>445</v>
      </c>
      <c r="W40" s="36" t="s">
        <v>445</v>
      </c>
      <c r="X40" s="38">
        <v>494.4</v>
      </c>
      <c r="Y40" s="38">
        <v>329.6</v>
      </c>
    </row>
    <row r="41" spans="1:25" x14ac:dyDescent="0.25">
      <c r="A41" s="36" t="s">
        <v>410</v>
      </c>
      <c r="B41" s="36" t="s">
        <v>42</v>
      </c>
      <c r="C41" s="36" t="s">
        <v>141</v>
      </c>
      <c r="D41" s="36" t="s">
        <v>601</v>
      </c>
      <c r="E41" s="36" t="s">
        <v>244</v>
      </c>
      <c r="F41" s="36" t="s">
        <v>410</v>
      </c>
      <c r="G41" s="36" t="s">
        <v>245</v>
      </c>
      <c r="H41" s="36" t="s">
        <v>414</v>
      </c>
      <c r="I41" s="36" t="s">
        <v>602</v>
      </c>
      <c r="J41" s="36" t="s">
        <v>603</v>
      </c>
      <c r="K41" s="36" t="s">
        <v>385</v>
      </c>
      <c r="L41" s="36" t="s">
        <v>442</v>
      </c>
      <c r="M41" s="37">
        <v>46164</v>
      </c>
      <c r="N41" s="37">
        <v>46164</v>
      </c>
      <c r="O41" s="36" t="s">
        <v>467</v>
      </c>
      <c r="P41" s="36" t="s">
        <v>468</v>
      </c>
      <c r="Q41" s="37">
        <v>46151</v>
      </c>
      <c r="R41" s="37">
        <v>46132</v>
      </c>
      <c r="S41" s="37">
        <v>46164</v>
      </c>
      <c r="T41" s="37">
        <v>46162</v>
      </c>
      <c r="U41" s="37">
        <v>46162</v>
      </c>
      <c r="V41" s="36" t="s">
        <v>604</v>
      </c>
      <c r="W41" s="36" t="s">
        <v>605</v>
      </c>
      <c r="X41" s="38">
        <v>178.12</v>
      </c>
      <c r="Y41" s="38">
        <v>178.12</v>
      </c>
    </row>
    <row r="42" spans="1:25" x14ac:dyDescent="0.25">
      <c r="A42" s="36" t="s">
        <v>410</v>
      </c>
      <c r="B42" s="36" t="s">
        <v>42</v>
      </c>
      <c r="C42" s="36" t="s">
        <v>141</v>
      </c>
      <c r="D42" s="36" t="s">
        <v>606</v>
      </c>
      <c r="E42" s="36" t="s">
        <v>260</v>
      </c>
      <c r="F42" s="36" t="s">
        <v>410</v>
      </c>
      <c r="G42" s="36" t="s">
        <v>261</v>
      </c>
      <c r="H42" s="36" t="s">
        <v>414</v>
      </c>
      <c r="I42" s="36" t="s">
        <v>607</v>
      </c>
      <c r="J42" s="36" t="s">
        <v>608</v>
      </c>
      <c r="K42" s="36" t="s">
        <v>385</v>
      </c>
      <c r="L42" s="36" t="s">
        <v>442</v>
      </c>
      <c r="M42" s="37">
        <v>46164</v>
      </c>
      <c r="N42" s="37">
        <v>46164</v>
      </c>
      <c r="O42" s="36" t="s">
        <v>467</v>
      </c>
      <c r="P42" s="36" t="s">
        <v>468</v>
      </c>
      <c r="Q42" s="37">
        <v>46151</v>
      </c>
      <c r="R42" s="37">
        <v>46132</v>
      </c>
      <c r="S42" s="37">
        <v>46164</v>
      </c>
      <c r="T42" s="37">
        <v>46164</v>
      </c>
      <c r="U42" s="37">
        <v>46164</v>
      </c>
      <c r="V42" s="36" t="s">
        <v>609</v>
      </c>
      <c r="W42" s="36" t="s">
        <v>610</v>
      </c>
      <c r="X42" s="38">
        <v>178.18</v>
      </c>
      <c r="Y42" s="38">
        <v>178.18</v>
      </c>
    </row>
    <row r="43" spans="1:25" x14ac:dyDescent="0.25">
      <c r="A43" s="36" t="s">
        <v>407</v>
      </c>
      <c r="B43" s="36" t="s">
        <v>42</v>
      </c>
      <c r="C43" s="36" t="s">
        <v>181</v>
      </c>
      <c r="D43" s="36" t="s">
        <v>611</v>
      </c>
      <c r="E43" s="36" t="s">
        <v>351</v>
      </c>
      <c r="F43" s="36" t="s">
        <v>407</v>
      </c>
      <c r="G43" s="36" t="s">
        <v>352</v>
      </c>
      <c r="H43" s="36" t="s">
        <v>409</v>
      </c>
      <c r="I43" s="36" t="s">
        <v>612</v>
      </c>
      <c r="J43" s="36" t="s">
        <v>613</v>
      </c>
      <c r="K43" s="36" t="s">
        <v>385</v>
      </c>
      <c r="L43" s="36" t="s">
        <v>442</v>
      </c>
      <c r="M43" s="37">
        <v>46164</v>
      </c>
      <c r="N43" s="37">
        <v>46164</v>
      </c>
      <c r="O43" s="36" t="s">
        <v>593</v>
      </c>
      <c r="P43" s="36" t="s">
        <v>541</v>
      </c>
      <c r="Q43" s="37">
        <v>46155</v>
      </c>
      <c r="R43" s="37">
        <v>46147</v>
      </c>
      <c r="S43" s="37">
        <v>46164</v>
      </c>
      <c r="T43" s="37">
        <v>46164</v>
      </c>
      <c r="U43" s="37">
        <v>46164</v>
      </c>
      <c r="V43" s="36" t="s">
        <v>614</v>
      </c>
      <c r="W43" s="36" t="s">
        <v>615</v>
      </c>
      <c r="X43" s="38">
        <v>0.03</v>
      </c>
      <c r="Y43" s="38">
        <v>0.03</v>
      </c>
    </row>
    <row r="44" spans="1:25" x14ac:dyDescent="0.25">
      <c r="A44" s="36" t="s">
        <v>410</v>
      </c>
      <c r="B44" s="36" t="s">
        <v>42</v>
      </c>
      <c r="C44" s="36" t="s">
        <v>44</v>
      </c>
      <c r="D44" s="36" t="s">
        <v>616</v>
      </c>
      <c r="E44" s="36" t="s">
        <v>306</v>
      </c>
      <c r="F44" s="36" t="s">
        <v>410</v>
      </c>
      <c r="G44" s="36" t="s">
        <v>307</v>
      </c>
      <c r="H44" s="36" t="s">
        <v>414</v>
      </c>
      <c r="I44" s="36" t="s">
        <v>499</v>
      </c>
      <c r="J44" s="36" t="s">
        <v>500</v>
      </c>
      <c r="K44" s="36" t="s">
        <v>385</v>
      </c>
      <c r="L44" s="36" t="s">
        <v>442</v>
      </c>
      <c r="M44" s="37">
        <v>46164</v>
      </c>
      <c r="N44" s="37">
        <v>46166</v>
      </c>
      <c r="O44" s="36" t="s">
        <v>443</v>
      </c>
      <c r="P44" s="36" t="s">
        <v>444</v>
      </c>
      <c r="Q44" s="37">
        <v>46151</v>
      </c>
      <c r="R44" s="37">
        <v>46147</v>
      </c>
      <c r="S44" s="37">
        <v>46164</v>
      </c>
      <c r="T44" s="37">
        <v>46165</v>
      </c>
      <c r="U44" s="37">
        <v>46166</v>
      </c>
      <c r="V44" s="36" t="s">
        <v>445</v>
      </c>
      <c r="W44" s="36" t="s">
        <v>445</v>
      </c>
      <c r="X44" s="38">
        <v>1799.39</v>
      </c>
      <c r="Y44" s="38">
        <v>1799.39</v>
      </c>
    </row>
    <row r="45" spans="1:25" x14ac:dyDescent="0.25">
      <c r="A45" s="36" t="s">
        <v>410</v>
      </c>
      <c r="B45" s="36" t="s">
        <v>42</v>
      </c>
      <c r="C45" s="36" t="s">
        <v>44</v>
      </c>
      <c r="D45" s="36" t="s">
        <v>617</v>
      </c>
      <c r="E45" s="36" t="s">
        <v>308</v>
      </c>
      <c r="F45" s="36" t="s">
        <v>410</v>
      </c>
      <c r="G45" s="36" t="s">
        <v>309</v>
      </c>
      <c r="H45" s="36" t="s">
        <v>414</v>
      </c>
      <c r="I45" s="36" t="s">
        <v>618</v>
      </c>
      <c r="J45" s="36" t="s">
        <v>619</v>
      </c>
      <c r="K45" s="36" t="s">
        <v>455</v>
      </c>
      <c r="L45" s="36" t="s">
        <v>442</v>
      </c>
      <c r="M45" s="37">
        <v>46164</v>
      </c>
      <c r="N45" s="37">
        <v>46165</v>
      </c>
      <c r="O45" s="36" t="s">
        <v>443</v>
      </c>
      <c r="P45" s="36" t="s">
        <v>444</v>
      </c>
      <c r="Q45" s="37">
        <v>46148</v>
      </c>
      <c r="R45" s="37">
        <v>46147</v>
      </c>
      <c r="S45" s="37">
        <v>46164</v>
      </c>
      <c r="T45" s="37">
        <v>46163</v>
      </c>
      <c r="U45" s="37">
        <v>46166</v>
      </c>
      <c r="V45" s="36" t="s">
        <v>445</v>
      </c>
      <c r="W45" s="36" t="s">
        <v>445</v>
      </c>
      <c r="X45" s="38">
        <v>5145.58</v>
      </c>
      <c r="Y45" s="38">
        <v>5158.18</v>
      </c>
    </row>
    <row r="46" spans="1:25" x14ac:dyDescent="0.25">
      <c r="A46" s="36" t="s">
        <v>407</v>
      </c>
      <c r="B46" s="36" t="s">
        <v>42</v>
      </c>
      <c r="C46" s="36" t="s">
        <v>44</v>
      </c>
      <c r="D46" s="36" t="s">
        <v>620</v>
      </c>
      <c r="E46" s="36" t="s">
        <v>236</v>
      </c>
      <c r="F46" s="36" t="s">
        <v>407</v>
      </c>
      <c r="G46" s="36" t="s">
        <v>237</v>
      </c>
      <c r="H46" s="36" t="s">
        <v>409</v>
      </c>
      <c r="I46" s="36" t="s">
        <v>621</v>
      </c>
      <c r="J46" s="36" t="s">
        <v>622</v>
      </c>
      <c r="K46" s="36" t="s">
        <v>385</v>
      </c>
      <c r="L46" s="36" t="s">
        <v>442</v>
      </c>
      <c r="M46" s="37">
        <v>46164</v>
      </c>
      <c r="N46" s="37">
        <v>46164</v>
      </c>
      <c r="O46" s="36" t="s">
        <v>623</v>
      </c>
      <c r="P46" s="36" t="s">
        <v>600</v>
      </c>
      <c r="Q46" s="37">
        <v>46155</v>
      </c>
      <c r="R46" s="37">
        <v>46155</v>
      </c>
      <c r="S46" s="37">
        <v>46164</v>
      </c>
      <c r="T46" s="37">
        <v>46164</v>
      </c>
      <c r="U46" s="37">
        <v>46164</v>
      </c>
      <c r="V46" s="36" t="s">
        <v>445</v>
      </c>
      <c r="W46" s="36" t="s">
        <v>445</v>
      </c>
      <c r="X46" s="38">
        <v>247.2</v>
      </c>
      <c r="Y46" s="38">
        <v>906.4</v>
      </c>
    </row>
    <row r="47" spans="1:25" x14ac:dyDescent="0.25">
      <c r="A47" s="36" t="s">
        <v>410</v>
      </c>
      <c r="B47" s="36" t="s">
        <v>146</v>
      </c>
      <c r="C47" s="36" t="s">
        <v>148</v>
      </c>
      <c r="D47" s="36" t="s">
        <v>624</v>
      </c>
      <c r="E47" s="36" t="s">
        <v>328</v>
      </c>
      <c r="F47" s="36" t="s">
        <v>410</v>
      </c>
      <c r="G47" s="36" t="s">
        <v>329</v>
      </c>
      <c r="H47" s="36" t="s">
        <v>414</v>
      </c>
      <c r="I47" s="36" t="s">
        <v>625</v>
      </c>
      <c r="J47" s="36" t="s">
        <v>571</v>
      </c>
      <c r="K47" s="36" t="s">
        <v>450</v>
      </c>
      <c r="L47" s="36" t="s">
        <v>442</v>
      </c>
      <c r="M47" s="37">
        <v>46164</v>
      </c>
      <c r="N47" s="37">
        <v>46164</v>
      </c>
      <c r="O47" s="36" t="s">
        <v>497</v>
      </c>
      <c r="P47" s="36" t="s">
        <v>468</v>
      </c>
      <c r="Q47" s="37">
        <v>46164</v>
      </c>
      <c r="R47" s="37">
        <v>46161</v>
      </c>
      <c r="S47" s="37">
        <v>46164</v>
      </c>
      <c r="T47" s="37">
        <v>46164</v>
      </c>
      <c r="U47" s="37">
        <v>46164</v>
      </c>
      <c r="V47" s="36" t="s">
        <v>445</v>
      </c>
      <c r="W47" s="36" t="s">
        <v>445</v>
      </c>
      <c r="X47" s="38">
        <v>222.68</v>
      </c>
      <c r="Y47" s="38">
        <v>222.68</v>
      </c>
    </row>
    <row r="48" spans="1:25" x14ac:dyDescent="0.25">
      <c r="A48" s="36" t="s">
        <v>410</v>
      </c>
      <c r="B48" s="36" t="s">
        <v>146</v>
      </c>
      <c r="C48" s="36" t="s">
        <v>148</v>
      </c>
      <c r="D48" s="36" t="s">
        <v>626</v>
      </c>
      <c r="E48" s="36" t="s">
        <v>330</v>
      </c>
      <c r="F48" s="36" t="s">
        <v>410</v>
      </c>
      <c r="G48" s="36" t="s">
        <v>331</v>
      </c>
      <c r="H48" s="36" t="s">
        <v>414</v>
      </c>
      <c r="I48" s="36" t="s">
        <v>627</v>
      </c>
      <c r="J48" s="36" t="s">
        <v>628</v>
      </c>
      <c r="K48" s="36" t="s">
        <v>450</v>
      </c>
      <c r="L48" s="36" t="s">
        <v>442</v>
      </c>
      <c r="M48" s="37">
        <v>46164</v>
      </c>
      <c r="N48" s="37">
        <v>46164</v>
      </c>
      <c r="O48" s="36" t="s">
        <v>497</v>
      </c>
      <c r="P48" s="36" t="s">
        <v>468</v>
      </c>
      <c r="Q48" s="37">
        <v>46164</v>
      </c>
      <c r="R48" s="37">
        <v>46162</v>
      </c>
      <c r="S48" s="37">
        <v>46164</v>
      </c>
      <c r="T48" s="37">
        <v>46163</v>
      </c>
      <c r="U48" s="37">
        <v>46163</v>
      </c>
      <c r="V48" s="36" t="s">
        <v>445</v>
      </c>
      <c r="W48" s="36" t="s">
        <v>445</v>
      </c>
      <c r="X48" s="38">
        <v>89.08</v>
      </c>
      <c r="Y48" s="38">
        <v>89.08</v>
      </c>
    </row>
    <row r="49" spans="1:25" x14ac:dyDescent="0.25">
      <c r="A49" s="36" t="s">
        <v>410</v>
      </c>
      <c r="B49" s="36" t="s">
        <v>146</v>
      </c>
      <c r="C49" s="36" t="s">
        <v>148</v>
      </c>
      <c r="D49" s="36" t="s">
        <v>629</v>
      </c>
      <c r="E49" s="36" t="s">
        <v>334</v>
      </c>
      <c r="F49" s="36" t="s">
        <v>410</v>
      </c>
      <c r="G49" s="36" t="s">
        <v>335</v>
      </c>
      <c r="H49" s="36" t="s">
        <v>414</v>
      </c>
      <c r="I49" s="36" t="s">
        <v>630</v>
      </c>
      <c r="J49" s="36" t="s">
        <v>631</v>
      </c>
      <c r="K49" s="36" t="s">
        <v>450</v>
      </c>
      <c r="L49" s="36" t="s">
        <v>466</v>
      </c>
      <c r="M49" s="37">
        <v>46164</v>
      </c>
      <c r="N49" s="37">
        <v>46164</v>
      </c>
      <c r="O49" s="36" t="s">
        <v>497</v>
      </c>
      <c r="P49" s="36" t="s">
        <v>468</v>
      </c>
      <c r="Q49" s="37">
        <v>46164</v>
      </c>
      <c r="R49" s="37">
        <v>46162</v>
      </c>
      <c r="S49" s="37">
        <v>46164</v>
      </c>
      <c r="T49" s="37">
        <v>46163</v>
      </c>
      <c r="U49" s="37">
        <v>46163</v>
      </c>
      <c r="V49" s="36" t="s">
        <v>445</v>
      </c>
      <c r="W49" s="36" t="s">
        <v>445</v>
      </c>
      <c r="X49" s="38">
        <v>0.04</v>
      </c>
      <c r="Y49" s="38">
        <v>0.04</v>
      </c>
    </row>
    <row r="50" spans="1:25" x14ac:dyDescent="0.25">
      <c r="A50" s="36" t="s">
        <v>410</v>
      </c>
      <c r="B50" s="36" t="s">
        <v>146</v>
      </c>
      <c r="C50" s="36" t="s">
        <v>148</v>
      </c>
      <c r="D50" s="36" t="s">
        <v>632</v>
      </c>
      <c r="E50" s="36" t="s">
        <v>336</v>
      </c>
      <c r="F50" s="36" t="s">
        <v>410</v>
      </c>
      <c r="G50" s="36" t="s">
        <v>337</v>
      </c>
      <c r="H50" s="36" t="s">
        <v>414</v>
      </c>
      <c r="I50" s="36" t="s">
        <v>633</v>
      </c>
      <c r="J50" s="36" t="s">
        <v>634</v>
      </c>
      <c r="K50" s="36" t="s">
        <v>450</v>
      </c>
      <c r="L50" s="36" t="s">
        <v>442</v>
      </c>
      <c r="M50" s="37">
        <v>46164</v>
      </c>
      <c r="N50" s="37">
        <v>46164</v>
      </c>
      <c r="O50" s="36" t="s">
        <v>635</v>
      </c>
      <c r="P50" s="36" t="s">
        <v>468</v>
      </c>
      <c r="Q50" s="37">
        <v>46163</v>
      </c>
      <c r="R50" s="37">
        <v>46163</v>
      </c>
      <c r="S50" s="37">
        <v>46164</v>
      </c>
      <c r="T50" s="37">
        <v>46163</v>
      </c>
      <c r="U50" s="37">
        <v>46163</v>
      </c>
      <c r="V50" s="36" t="s">
        <v>445</v>
      </c>
      <c r="W50" s="36" t="s">
        <v>445</v>
      </c>
      <c r="X50" s="38">
        <v>17.809999999999999</v>
      </c>
      <c r="Y50" s="38">
        <v>17.809999999999999</v>
      </c>
    </row>
    <row r="51" spans="1:25" x14ac:dyDescent="0.25">
      <c r="A51" s="36" t="s">
        <v>410</v>
      </c>
      <c r="B51" s="36" t="s">
        <v>146</v>
      </c>
      <c r="C51" s="36" t="s">
        <v>148</v>
      </c>
      <c r="D51" s="36" t="s">
        <v>636</v>
      </c>
      <c r="E51" s="36" t="s">
        <v>338</v>
      </c>
      <c r="F51" s="36" t="s">
        <v>410</v>
      </c>
      <c r="G51" s="36" t="s">
        <v>339</v>
      </c>
      <c r="H51" s="36" t="s">
        <v>414</v>
      </c>
      <c r="I51" s="36" t="s">
        <v>637</v>
      </c>
      <c r="J51" s="36" t="s">
        <v>638</v>
      </c>
      <c r="K51" s="36" t="s">
        <v>450</v>
      </c>
      <c r="L51" s="36" t="s">
        <v>442</v>
      </c>
      <c r="M51" s="37">
        <v>46164</v>
      </c>
      <c r="N51" s="37">
        <v>46164</v>
      </c>
      <c r="O51" s="36" t="s">
        <v>497</v>
      </c>
      <c r="P51" s="36" t="s">
        <v>468</v>
      </c>
      <c r="Q51" s="37">
        <v>46164</v>
      </c>
      <c r="R51" s="37">
        <v>46164</v>
      </c>
      <c r="S51" s="37">
        <v>46164</v>
      </c>
      <c r="T51" s="37">
        <v>46163</v>
      </c>
      <c r="U51" s="37">
        <v>46163</v>
      </c>
      <c r="V51" s="36" t="s">
        <v>445</v>
      </c>
      <c r="W51" s="36" t="s">
        <v>445</v>
      </c>
      <c r="X51" s="38">
        <v>89.08</v>
      </c>
      <c r="Y51" s="38">
        <v>89.08</v>
      </c>
    </row>
    <row r="52" spans="1:25" x14ac:dyDescent="0.25">
      <c r="A52" s="36" t="s">
        <v>407</v>
      </c>
      <c r="B52" s="36" t="s">
        <v>42</v>
      </c>
      <c r="C52" s="36" t="s">
        <v>44</v>
      </c>
      <c r="D52" s="36" t="s">
        <v>639</v>
      </c>
      <c r="E52" s="36" t="s">
        <v>233</v>
      </c>
      <c r="F52" s="36" t="s">
        <v>407</v>
      </c>
      <c r="G52" s="36" t="s">
        <v>234</v>
      </c>
      <c r="H52" s="36" t="s">
        <v>409</v>
      </c>
      <c r="I52" s="36" t="s">
        <v>640</v>
      </c>
      <c r="J52" s="36" t="s">
        <v>641</v>
      </c>
      <c r="K52" s="36" t="s">
        <v>385</v>
      </c>
      <c r="L52" s="36" t="s">
        <v>442</v>
      </c>
      <c r="M52" s="37">
        <v>46165</v>
      </c>
      <c r="N52" s="37">
        <v>46166</v>
      </c>
      <c r="O52" s="36" t="s">
        <v>623</v>
      </c>
      <c r="P52" s="36" t="s">
        <v>600</v>
      </c>
      <c r="Q52" s="37">
        <v>46155</v>
      </c>
      <c r="R52" s="37">
        <v>46119</v>
      </c>
      <c r="S52" s="37">
        <v>46165</v>
      </c>
      <c r="T52" s="37">
        <v>46165</v>
      </c>
      <c r="U52" s="37">
        <v>46166</v>
      </c>
      <c r="V52" s="36" t="s">
        <v>445</v>
      </c>
      <c r="W52" s="36" t="s">
        <v>445</v>
      </c>
      <c r="X52" s="38">
        <v>1812.8</v>
      </c>
      <c r="Y52" s="38">
        <v>1812.8</v>
      </c>
    </row>
    <row r="53" spans="1:25" x14ac:dyDescent="0.25">
      <c r="A53" s="36" t="s">
        <v>410</v>
      </c>
      <c r="B53" s="36" t="s">
        <v>42</v>
      </c>
      <c r="C53" s="36" t="s">
        <v>141</v>
      </c>
      <c r="D53" s="36" t="s">
        <v>642</v>
      </c>
      <c r="E53" s="36" t="s">
        <v>241</v>
      </c>
      <c r="F53" s="36" t="s">
        <v>410</v>
      </c>
      <c r="G53" s="36" t="s">
        <v>242</v>
      </c>
      <c r="H53" s="36" t="s">
        <v>414</v>
      </c>
      <c r="I53" s="36" t="s">
        <v>533</v>
      </c>
      <c r="J53" s="36" t="s">
        <v>534</v>
      </c>
      <c r="K53" s="36" t="s">
        <v>385</v>
      </c>
      <c r="L53" s="36" t="s">
        <v>442</v>
      </c>
      <c r="M53" s="37">
        <v>46165</v>
      </c>
      <c r="N53" s="37">
        <v>46165</v>
      </c>
      <c r="O53" s="36" t="s">
        <v>643</v>
      </c>
      <c r="P53" s="36" t="s">
        <v>468</v>
      </c>
      <c r="Q53" s="37">
        <v>46151</v>
      </c>
      <c r="R53" s="37">
        <v>46126</v>
      </c>
      <c r="S53" s="37">
        <v>46165</v>
      </c>
      <c r="T53" s="37">
        <v>46165</v>
      </c>
      <c r="U53" s="37">
        <v>46165</v>
      </c>
      <c r="V53" s="36" t="s">
        <v>644</v>
      </c>
      <c r="W53" s="36" t="s">
        <v>645</v>
      </c>
      <c r="X53" s="38">
        <v>356.2</v>
      </c>
      <c r="Y53" s="38">
        <v>356.2</v>
      </c>
    </row>
    <row r="54" spans="1:25" x14ac:dyDescent="0.25">
      <c r="A54" s="36" t="s">
        <v>407</v>
      </c>
      <c r="B54" s="36" t="s">
        <v>42</v>
      </c>
      <c r="C54" s="36" t="s">
        <v>141</v>
      </c>
      <c r="D54" s="36" t="s">
        <v>646</v>
      </c>
      <c r="E54" s="36" t="s">
        <v>346</v>
      </c>
      <c r="F54" s="36" t="s">
        <v>407</v>
      </c>
      <c r="G54" s="36" t="s">
        <v>347</v>
      </c>
      <c r="H54" s="36" t="s">
        <v>409</v>
      </c>
      <c r="I54" s="36" t="s">
        <v>647</v>
      </c>
      <c r="J54" s="36" t="s">
        <v>648</v>
      </c>
      <c r="K54" s="36" t="s">
        <v>385</v>
      </c>
      <c r="L54" s="36" t="s">
        <v>442</v>
      </c>
      <c r="M54" s="37">
        <v>46165</v>
      </c>
      <c r="N54" s="37">
        <v>46165</v>
      </c>
      <c r="O54" s="36" t="s">
        <v>524</v>
      </c>
      <c r="P54" s="36" t="s">
        <v>541</v>
      </c>
      <c r="Q54" s="37">
        <v>46155</v>
      </c>
      <c r="R54" s="37">
        <v>46148</v>
      </c>
      <c r="S54" s="37">
        <v>46165</v>
      </c>
      <c r="T54" s="37">
        <v>46165</v>
      </c>
      <c r="U54" s="37">
        <v>46165</v>
      </c>
      <c r="V54" s="36" t="s">
        <v>649</v>
      </c>
      <c r="W54" s="36" t="s">
        <v>650</v>
      </c>
      <c r="X54" s="38">
        <v>0.03</v>
      </c>
      <c r="Y54" s="38">
        <v>0.03</v>
      </c>
    </row>
    <row r="55" spans="1:25" x14ac:dyDescent="0.25">
      <c r="A55" s="36" t="s">
        <v>407</v>
      </c>
      <c r="B55" s="36" t="s">
        <v>42</v>
      </c>
      <c r="C55" s="36" t="s">
        <v>44</v>
      </c>
      <c r="D55" s="36" t="s">
        <v>651</v>
      </c>
      <c r="E55" s="36" t="s">
        <v>239</v>
      </c>
      <c r="F55" s="36" t="s">
        <v>407</v>
      </c>
      <c r="G55" s="36" t="s">
        <v>240</v>
      </c>
      <c r="H55" s="36" t="s">
        <v>409</v>
      </c>
      <c r="I55" s="36" t="s">
        <v>652</v>
      </c>
      <c r="J55" s="36" t="s">
        <v>653</v>
      </c>
      <c r="K55" s="36" t="s">
        <v>385</v>
      </c>
      <c r="L55" s="36" t="s">
        <v>442</v>
      </c>
      <c r="M55" s="37">
        <v>46165</v>
      </c>
      <c r="N55" s="37">
        <v>46165</v>
      </c>
      <c r="O55" s="36" t="s">
        <v>623</v>
      </c>
      <c r="P55" s="36" t="s">
        <v>541</v>
      </c>
      <c r="Q55" s="37">
        <v>46155</v>
      </c>
      <c r="R55" s="37">
        <v>46155</v>
      </c>
      <c r="S55" s="37">
        <v>46165</v>
      </c>
      <c r="T55" s="37">
        <v>46165</v>
      </c>
      <c r="U55" s="37">
        <v>46165</v>
      </c>
      <c r="V55" s="36" t="s">
        <v>445</v>
      </c>
      <c r="W55" s="36" t="s">
        <v>445</v>
      </c>
      <c r="X55" s="38">
        <v>247.2</v>
      </c>
      <c r="Y55" s="38">
        <v>906.4</v>
      </c>
    </row>
    <row r="56" spans="1:25" x14ac:dyDescent="0.25">
      <c r="A56" s="36" t="s">
        <v>407</v>
      </c>
      <c r="B56" s="36" t="s">
        <v>42</v>
      </c>
      <c r="C56" s="36" t="s">
        <v>181</v>
      </c>
      <c r="D56" s="36" t="s">
        <v>654</v>
      </c>
      <c r="E56" s="36" t="s">
        <v>222</v>
      </c>
      <c r="F56" s="36" t="s">
        <v>407</v>
      </c>
      <c r="G56" s="36" t="s">
        <v>223</v>
      </c>
      <c r="H56" s="36" t="s">
        <v>409</v>
      </c>
      <c r="I56" s="36" t="s">
        <v>655</v>
      </c>
      <c r="J56" s="36" t="s">
        <v>656</v>
      </c>
      <c r="K56" s="36" t="s">
        <v>385</v>
      </c>
      <c r="L56" s="36" t="s">
        <v>442</v>
      </c>
      <c r="M56" s="37">
        <v>46166</v>
      </c>
      <c r="N56" s="37">
        <v>46166</v>
      </c>
      <c r="O56" s="36" t="s">
        <v>467</v>
      </c>
      <c r="P56" s="36" t="s">
        <v>600</v>
      </c>
      <c r="Q56" s="37">
        <v>46155</v>
      </c>
      <c r="R56" s="37">
        <v>46132</v>
      </c>
      <c r="S56" s="37">
        <v>46166</v>
      </c>
      <c r="T56" s="37">
        <v>46166</v>
      </c>
      <c r="U56" s="37">
        <v>46166</v>
      </c>
      <c r="V56" s="36" t="s">
        <v>657</v>
      </c>
      <c r="W56" s="36" t="s">
        <v>658</v>
      </c>
      <c r="X56" s="38">
        <v>164.8</v>
      </c>
      <c r="Y56" s="38">
        <v>164.8</v>
      </c>
    </row>
    <row r="57" spans="1:25" x14ac:dyDescent="0.25">
      <c r="A57" s="36" t="s">
        <v>407</v>
      </c>
      <c r="B57" s="36" t="s">
        <v>42</v>
      </c>
      <c r="C57" s="36" t="s">
        <v>181</v>
      </c>
      <c r="D57" s="36" t="s">
        <v>659</v>
      </c>
      <c r="E57" s="36" t="s">
        <v>225</v>
      </c>
      <c r="F57" s="36" t="s">
        <v>407</v>
      </c>
      <c r="G57" s="36" t="s">
        <v>226</v>
      </c>
      <c r="H57" s="36" t="s">
        <v>409</v>
      </c>
      <c r="I57" s="36" t="s">
        <v>660</v>
      </c>
      <c r="J57" s="36" t="s">
        <v>661</v>
      </c>
      <c r="K57" s="36" t="s">
        <v>385</v>
      </c>
      <c r="L57" s="36" t="s">
        <v>442</v>
      </c>
      <c r="M57" s="37">
        <v>46166</v>
      </c>
      <c r="N57" s="37">
        <v>46166</v>
      </c>
      <c r="O57" s="36" t="s">
        <v>467</v>
      </c>
      <c r="P57" s="36" t="s">
        <v>600</v>
      </c>
      <c r="Q57" s="37">
        <v>46155</v>
      </c>
      <c r="R57" s="37">
        <v>46132</v>
      </c>
      <c r="S57" s="37">
        <v>46166</v>
      </c>
      <c r="T57" s="37">
        <v>46166</v>
      </c>
      <c r="U57" s="37">
        <v>46166</v>
      </c>
      <c r="V57" s="36" t="s">
        <v>662</v>
      </c>
      <c r="W57" s="36" t="s">
        <v>663</v>
      </c>
      <c r="X57" s="38">
        <v>494.4</v>
      </c>
      <c r="Y57" s="38">
        <v>164.8</v>
      </c>
    </row>
    <row r="58" spans="1:25" x14ac:dyDescent="0.25">
      <c r="A58" s="36" t="s">
        <v>407</v>
      </c>
      <c r="B58" s="36" t="s">
        <v>42</v>
      </c>
      <c r="C58" s="36" t="s">
        <v>141</v>
      </c>
      <c r="D58" s="36" t="s">
        <v>664</v>
      </c>
      <c r="E58" s="36" t="s">
        <v>215</v>
      </c>
      <c r="F58" s="36" t="s">
        <v>407</v>
      </c>
      <c r="G58" s="36" t="s">
        <v>216</v>
      </c>
      <c r="H58" s="36" t="s">
        <v>409</v>
      </c>
      <c r="I58" s="36" t="s">
        <v>621</v>
      </c>
      <c r="J58" s="36" t="s">
        <v>622</v>
      </c>
      <c r="K58" s="36" t="s">
        <v>385</v>
      </c>
      <c r="L58" s="36" t="s">
        <v>442</v>
      </c>
      <c r="M58" s="37">
        <v>46166</v>
      </c>
      <c r="N58" s="37">
        <v>46166</v>
      </c>
      <c r="O58" s="36" t="s">
        <v>665</v>
      </c>
      <c r="P58" s="36" t="s">
        <v>600</v>
      </c>
      <c r="Q58" s="37">
        <v>46155</v>
      </c>
      <c r="R58" s="37">
        <v>46137</v>
      </c>
      <c r="S58" s="37">
        <v>46166</v>
      </c>
      <c r="T58" s="37">
        <v>46166</v>
      </c>
      <c r="U58" s="37">
        <v>46166</v>
      </c>
      <c r="V58" s="36" t="s">
        <v>666</v>
      </c>
      <c r="W58" s="36" t="s">
        <v>667</v>
      </c>
      <c r="X58" s="38">
        <v>247.2</v>
      </c>
      <c r="Y58" s="38">
        <v>247.2</v>
      </c>
    </row>
    <row r="59" spans="1:25" x14ac:dyDescent="0.25">
      <c r="A59" s="36" t="s">
        <v>407</v>
      </c>
      <c r="B59" s="36" t="s">
        <v>42</v>
      </c>
      <c r="C59" s="36" t="s">
        <v>141</v>
      </c>
      <c r="D59" s="36" t="s">
        <v>668</v>
      </c>
      <c r="E59" s="36" t="s">
        <v>218</v>
      </c>
      <c r="F59" s="36" t="s">
        <v>407</v>
      </c>
      <c r="G59" s="36" t="s">
        <v>219</v>
      </c>
      <c r="H59" s="36" t="s">
        <v>409</v>
      </c>
      <c r="I59" s="36" t="s">
        <v>669</v>
      </c>
      <c r="J59" s="36" t="s">
        <v>670</v>
      </c>
      <c r="K59" s="36" t="s">
        <v>385</v>
      </c>
      <c r="L59" s="36" t="s">
        <v>442</v>
      </c>
      <c r="M59" s="37">
        <v>46166</v>
      </c>
      <c r="N59" s="37">
        <v>46166</v>
      </c>
      <c r="O59" s="36" t="s">
        <v>665</v>
      </c>
      <c r="P59" s="36" t="s">
        <v>600</v>
      </c>
      <c r="Q59" s="37">
        <v>46155</v>
      </c>
      <c r="R59" s="37">
        <v>46137</v>
      </c>
      <c r="S59" s="37">
        <v>46166</v>
      </c>
      <c r="T59" s="37">
        <v>46166</v>
      </c>
      <c r="U59" s="37">
        <v>46166</v>
      </c>
      <c r="V59" s="36" t="s">
        <v>671</v>
      </c>
      <c r="W59" s="36" t="s">
        <v>672</v>
      </c>
      <c r="X59" s="38">
        <v>247.2</v>
      </c>
      <c r="Y59" s="38">
        <v>247.2</v>
      </c>
    </row>
    <row r="60" spans="1:25" x14ac:dyDescent="0.25">
      <c r="A60" s="36" t="s">
        <v>407</v>
      </c>
      <c r="B60" s="36" t="s">
        <v>42</v>
      </c>
      <c r="C60" s="36" t="s">
        <v>181</v>
      </c>
      <c r="D60" s="36" t="s">
        <v>673</v>
      </c>
      <c r="E60" s="36" t="s">
        <v>227</v>
      </c>
      <c r="F60" s="36" t="s">
        <v>407</v>
      </c>
      <c r="G60" s="36" t="s">
        <v>228</v>
      </c>
      <c r="H60" s="36" t="s">
        <v>409</v>
      </c>
      <c r="I60" s="36" t="s">
        <v>674</v>
      </c>
      <c r="J60" s="36" t="s">
        <v>675</v>
      </c>
      <c r="K60" s="36" t="s">
        <v>385</v>
      </c>
      <c r="L60" s="36" t="s">
        <v>442</v>
      </c>
      <c r="M60" s="37">
        <v>46166</v>
      </c>
      <c r="N60" s="37">
        <v>46166</v>
      </c>
      <c r="O60" s="36" t="s">
        <v>518</v>
      </c>
      <c r="P60" s="36" t="s">
        <v>600</v>
      </c>
      <c r="Q60" s="37">
        <v>46155</v>
      </c>
      <c r="R60" s="37">
        <v>46139</v>
      </c>
      <c r="S60" s="37">
        <v>46166</v>
      </c>
      <c r="T60" s="37">
        <v>46166</v>
      </c>
      <c r="U60" s="37">
        <v>46166</v>
      </c>
      <c r="V60" s="36" t="s">
        <v>676</v>
      </c>
      <c r="W60" s="36" t="s">
        <v>677</v>
      </c>
      <c r="X60" s="38">
        <v>494.4</v>
      </c>
      <c r="Y60" s="38">
        <v>494.4</v>
      </c>
    </row>
    <row r="61" spans="1:25" x14ac:dyDescent="0.25">
      <c r="A61" s="36" t="s">
        <v>407</v>
      </c>
      <c r="B61" s="36" t="s">
        <v>42</v>
      </c>
      <c r="C61" s="36" t="s">
        <v>141</v>
      </c>
      <c r="D61" s="36" t="s">
        <v>678</v>
      </c>
      <c r="E61" s="36" t="s">
        <v>220</v>
      </c>
      <c r="F61" s="36" t="s">
        <v>407</v>
      </c>
      <c r="G61" s="36" t="s">
        <v>221</v>
      </c>
      <c r="H61" s="36" t="s">
        <v>409</v>
      </c>
      <c r="I61" s="36" t="s">
        <v>652</v>
      </c>
      <c r="J61" s="36" t="s">
        <v>653</v>
      </c>
      <c r="K61" s="36" t="s">
        <v>385</v>
      </c>
      <c r="L61" s="36" t="s">
        <v>442</v>
      </c>
      <c r="M61" s="37">
        <v>46166</v>
      </c>
      <c r="N61" s="37">
        <v>46166</v>
      </c>
      <c r="O61" s="36" t="s">
        <v>679</v>
      </c>
      <c r="P61" s="36" t="s">
        <v>600</v>
      </c>
      <c r="Q61" s="37">
        <v>46155</v>
      </c>
      <c r="R61" s="37">
        <v>46140</v>
      </c>
      <c r="S61" s="37">
        <v>46166</v>
      </c>
      <c r="T61" s="37">
        <v>46166</v>
      </c>
      <c r="U61" s="37">
        <v>46166</v>
      </c>
      <c r="V61" s="36" t="s">
        <v>680</v>
      </c>
      <c r="W61" s="36" t="s">
        <v>681</v>
      </c>
      <c r="X61" s="38">
        <v>247.2</v>
      </c>
      <c r="Y61" s="38">
        <v>247.2</v>
      </c>
    </row>
    <row r="62" spans="1:25" x14ac:dyDescent="0.25">
      <c r="A62" s="36" t="s">
        <v>410</v>
      </c>
      <c r="B62" s="36" t="s">
        <v>146</v>
      </c>
      <c r="C62" s="36" t="s">
        <v>148</v>
      </c>
      <c r="D62" s="36" t="s">
        <v>682</v>
      </c>
      <c r="E62" s="36" t="s">
        <v>332</v>
      </c>
      <c r="F62" s="36" t="s">
        <v>410</v>
      </c>
      <c r="G62" s="36" t="s">
        <v>333</v>
      </c>
      <c r="H62" s="36" t="s">
        <v>414</v>
      </c>
      <c r="I62" s="36" t="s">
        <v>683</v>
      </c>
      <c r="J62" s="36" t="s">
        <v>684</v>
      </c>
      <c r="K62" s="36" t="s">
        <v>450</v>
      </c>
      <c r="L62" s="36" t="s">
        <v>466</v>
      </c>
      <c r="M62" s="37">
        <v>46166</v>
      </c>
      <c r="N62" s="37">
        <v>46166</v>
      </c>
      <c r="O62" s="36" t="s">
        <v>497</v>
      </c>
      <c r="P62" s="36" t="s">
        <v>444</v>
      </c>
      <c r="Q62" s="37">
        <v>46166</v>
      </c>
      <c r="R62" s="37">
        <v>46162</v>
      </c>
      <c r="S62" s="37">
        <v>46166</v>
      </c>
      <c r="T62" s="37">
        <v>46166</v>
      </c>
      <c r="U62" s="37">
        <v>46166</v>
      </c>
      <c r="V62" s="36" t="s">
        <v>445</v>
      </c>
      <c r="W62" s="36" t="s">
        <v>445</v>
      </c>
      <c r="X62" s="38">
        <v>0.04</v>
      </c>
      <c r="Y62" s="38">
        <v>0.04</v>
      </c>
    </row>
    <row r="63" spans="1:25" x14ac:dyDescent="0.25">
      <c r="A63" s="36" t="s">
        <v>410</v>
      </c>
      <c r="B63" s="36" t="s">
        <v>146</v>
      </c>
      <c r="C63" s="36" t="s">
        <v>148</v>
      </c>
      <c r="D63" s="36" t="s">
        <v>685</v>
      </c>
      <c r="E63" s="36" t="s">
        <v>340</v>
      </c>
      <c r="F63" s="36" t="s">
        <v>410</v>
      </c>
      <c r="G63" s="36" t="s">
        <v>341</v>
      </c>
      <c r="H63" s="36" t="s">
        <v>414</v>
      </c>
      <c r="I63" s="36" t="s">
        <v>686</v>
      </c>
      <c r="J63" s="36" t="s">
        <v>687</v>
      </c>
      <c r="K63" s="36" t="s">
        <v>688</v>
      </c>
      <c r="L63" s="36" t="s">
        <v>442</v>
      </c>
      <c r="M63" s="37">
        <v>46167</v>
      </c>
      <c r="N63" s="37">
        <v>46167</v>
      </c>
      <c r="O63" s="36" t="s">
        <v>635</v>
      </c>
      <c r="P63" s="36" t="s">
        <v>689</v>
      </c>
      <c r="Q63" s="37">
        <v>46166</v>
      </c>
      <c r="R63" s="37">
        <v>46166</v>
      </c>
      <c r="S63" s="37">
        <v>46167</v>
      </c>
      <c r="T63" s="37">
        <v>46166</v>
      </c>
      <c r="U63" s="37">
        <v>46166</v>
      </c>
      <c r="V63" s="36" t="s">
        <v>445</v>
      </c>
      <c r="W63" s="36" t="s">
        <v>445</v>
      </c>
      <c r="X63" s="38">
        <v>17.809999999999999</v>
      </c>
      <c r="Y63" s="38">
        <v>17.809999999999999</v>
      </c>
    </row>
    <row r="64" spans="1:25" x14ac:dyDescent="0.25">
      <c r="A64" s="39" t="s">
        <v>445</v>
      </c>
      <c r="B64" s="39" t="s">
        <v>445</v>
      </c>
      <c r="C64" s="39" t="s">
        <v>445</v>
      </c>
      <c r="D64" s="39" t="s">
        <v>445</v>
      </c>
      <c r="E64" s="39" t="s">
        <v>445</v>
      </c>
      <c r="F64" s="39" t="s">
        <v>445</v>
      </c>
      <c r="G64" s="39" t="s">
        <v>445</v>
      </c>
      <c r="H64" s="39" t="s">
        <v>445</v>
      </c>
      <c r="I64" s="39" t="s">
        <v>445</v>
      </c>
      <c r="J64" s="39" t="s">
        <v>445</v>
      </c>
      <c r="K64" s="39" t="s">
        <v>445</v>
      </c>
      <c r="L64" s="39" t="s">
        <v>445</v>
      </c>
      <c r="M64" s="39" t="s">
        <v>445</v>
      </c>
      <c r="N64" s="39" t="s">
        <v>445</v>
      </c>
      <c r="O64" s="39" t="s">
        <v>445</v>
      </c>
      <c r="P64" s="39" t="s">
        <v>445</v>
      </c>
      <c r="Q64" s="39" t="s">
        <v>445</v>
      </c>
      <c r="R64" s="39" t="s">
        <v>445</v>
      </c>
      <c r="S64" s="39" t="s">
        <v>445</v>
      </c>
      <c r="T64" s="39" t="s">
        <v>445</v>
      </c>
      <c r="U64" s="39" t="s">
        <v>445</v>
      </c>
      <c r="V64" s="39" t="s">
        <v>445</v>
      </c>
      <c r="W64" s="39" t="s">
        <v>445</v>
      </c>
      <c r="X64" s="40">
        <v>345253.23</v>
      </c>
      <c r="Y64" s="39" t="s">
        <v>445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FF03-D47D-4784-B5FA-1925B734BE11}">
  <dimension ref="A1:H64"/>
  <sheetViews>
    <sheetView tabSelected="1" workbookViewId="0">
      <selection activeCell="G21" sqref="G21"/>
    </sheetView>
  </sheetViews>
  <sheetFormatPr baseColWidth="10" defaultRowHeight="15" x14ac:dyDescent="0.25"/>
  <cols>
    <col min="1" max="1" width="39.28515625" bestFit="1" customWidth="1"/>
    <col min="3" max="3" width="18.28515625" bestFit="1" customWidth="1"/>
    <col min="4" max="5" width="12" bestFit="1" customWidth="1"/>
    <col min="6" max="6" width="12.42578125" bestFit="1" customWidth="1"/>
    <col min="7" max="7" width="15.42578125" bestFit="1" customWidth="1"/>
  </cols>
  <sheetData>
    <row r="1" spans="1:4" x14ac:dyDescent="0.25">
      <c r="A1" s="46" t="s">
        <v>705</v>
      </c>
    </row>
    <row r="2" spans="1:4" x14ac:dyDescent="0.25">
      <c r="A2" s="58" t="s">
        <v>2</v>
      </c>
      <c r="B2" s="59" t="s">
        <v>697</v>
      </c>
      <c r="C2" s="59" t="s">
        <v>9</v>
      </c>
      <c r="D2" s="47" t="s">
        <v>706</v>
      </c>
    </row>
    <row r="3" spans="1:4" x14ac:dyDescent="0.25">
      <c r="A3" t="s">
        <v>15</v>
      </c>
      <c r="B3" t="s">
        <v>407</v>
      </c>
      <c r="C3" t="s">
        <v>22</v>
      </c>
      <c r="D3" s="48">
        <v>3</v>
      </c>
    </row>
    <row r="4" spans="1:4" x14ac:dyDescent="0.25">
      <c r="A4" t="s">
        <v>707</v>
      </c>
      <c r="D4" s="48">
        <v>3</v>
      </c>
    </row>
    <row r="5" spans="1:4" x14ac:dyDescent="0.25">
      <c r="D5" s="48"/>
    </row>
    <row r="6" spans="1:4" hidden="1" x14ac:dyDescent="0.25">
      <c r="D6" s="48"/>
    </row>
    <row r="7" spans="1:4" hidden="1" x14ac:dyDescent="0.25">
      <c r="D7" s="48"/>
    </row>
    <row r="8" spans="1:4" hidden="1" x14ac:dyDescent="0.25">
      <c r="D8" s="48"/>
    </row>
    <row r="9" spans="1:4" hidden="1" x14ac:dyDescent="0.25">
      <c r="D9" s="48"/>
    </row>
    <row r="11" spans="1:4" x14ac:dyDescent="0.25">
      <c r="A11" s="46" t="s">
        <v>708</v>
      </c>
    </row>
    <row r="12" spans="1:4" x14ac:dyDescent="0.25">
      <c r="A12" s="58" t="s">
        <v>2</v>
      </c>
      <c r="B12" s="58" t="s">
        <v>696</v>
      </c>
      <c r="C12" s="58" t="s">
        <v>9</v>
      </c>
      <c r="D12" s="47" t="s">
        <v>709</v>
      </c>
    </row>
    <row r="13" spans="1:4" x14ac:dyDescent="0.25">
      <c r="A13" t="s">
        <v>37</v>
      </c>
      <c r="B13" t="s">
        <v>410</v>
      </c>
      <c r="C13" t="s">
        <v>36</v>
      </c>
      <c r="D13" s="48">
        <v>10</v>
      </c>
    </row>
    <row r="14" spans="1:4" x14ac:dyDescent="0.25">
      <c r="A14" t="s">
        <v>135</v>
      </c>
      <c r="B14" t="s">
        <v>412</v>
      </c>
      <c r="C14" t="s">
        <v>111</v>
      </c>
      <c r="D14" s="48">
        <v>3</v>
      </c>
    </row>
    <row r="15" spans="1:4" x14ac:dyDescent="0.25">
      <c r="B15" t="s">
        <v>407</v>
      </c>
      <c r="C15" t="s">
        <v>22</v>
      </c>
      <c r="D15" s="48">
        <v>4</v>
      </c>
    </row>
    <row r="16" spans="1:4" x14ac:dyDescent="0.25">
      <c r="A16" t="s">
        <v>74</v>
      </c>
      <c r="B16" t="s">
        <v>412</v>
      </c>
      <c r="C16" t="s">
        <v>111</v>
      </c>
      <c r="D16" s="48">
        <v>8</v>
      </c>
    </row>
    <row r="17" spans="1:7" x14ac:dyDescent="0.25">
      <c r="B17" t="s">
        <v>411</v>
      </c>
      <c r="C17" t="s">
        <v>73</v>
      </c>
      <c r="D17" s="48">
        <v>14</v>
      </c>
    </row>
    <row r="18" spans="1:7" x14ac:dyDescent="0.25">
      <c r="B18" t="s">
        <v>413</v>
      </c>
      <c r="C18" t="s">
        <v>188</v>
      </c>
      <c r="D18" s="48">
        <v>3</v>
      </c>
    </row>
    <row r="19" spans="1:7" x14ac:dyDescent="0.25">
      <c r="A19" t="s">
        <v>15</v>
      </c>
      <c r="B19" t="s">
        <v>407</v>
      </c>
      <c r="C19" t="s">
        <v>22</v>
      </c>
      <c r="D19" s="48">
        <v>12</v>
      </c>
    </row>
    <row r="20" spans="1:7" x14ac:dyDescent="0.25">
      <c r="A20" t="s">
        <v>707</v>
      </c>
      <c r="D20" s="48">
        <v>54</v>
      </c>
    </row>
    <row r="21" spans="1:7" x14ac:dyDescent="0.25">
      <c r="D21" s="48"/>
    </row>
    <row r="22" spans="1:7" hidden="1" x14ac:dyDescent="0.25">
      <c r="D22" s="48"/>
    </row>
    <row r="23" spans="1:7" hidden="1" x14ac:dyDescent="0.25">
      <c r="D23" s="48"/>
    </row>
    <row r="24" spans="1:7" hidden="1" x14ac:dyDescent="0.25">
      <c r="D24" s="48"/>
    </row>
    <row r="25" spans="1:7" hidden="1" x14ac:dyDescent="0.25">
      <c r="D25" s="48"/>
    </row>
    <row r="27" spans="1:7" x14ac:dyDescent="0.25">
      <c r="A27" s="49" t="s">
        <v>710</v>
      </c>
      <c r="B27" s="47"/>
      <c r="C27" s="47"/>
      <c r="D27" s="47"/>
      <c r="E27" s="47"/>
      <c r="F27" s="47"/>
    </row>
    <row r="28" spans="1:7" hidden="1" x14ac:dyDescent="0.25">
      <c r="A28" s="58" t="s">
        <v>711</v>
      </c>
      <c r="D28" s="59" t="s">
        <v>417</v>
      </c>
      <c r="E28" s="47"/>
      <c r="F28" s="47"/>
      <c r="G28" s="50"/>
    </row>
    <row r="29" spans="1:7" x14ac:dyDescent="0.25">
      <c r="A29" s="58" t="s">
        <v>2</v>
      </c>
      <c r="B29" s="58" t="s">
        <v>415</v>
      </c>
      <c r="C29" s="58" t="s">
        <v>416</v>
      </c>
      <c r="D29" s="47" t="s">
        <v>694</v>
      </c>
      <c r="E29" s="47" t="s">
        <v>695</v>
      </c>
      <c r="F29" s="47" t="s">
        <v>707</v>
      </c>
      <c r="G29" s="51" t="s">
        <v>712</v>
      </c>
    </row>
    <row r="30" spans="1:7" x14ac:dyDescent="0.25">
      <c r="A30" t="s">
        <v>15</v>
      </c>
      <c r="B30" t="s">
        <v>407</v>
      </c>
      <c r="C30" t="s">
        <v>22</v>
      </c>
      <c r="D30" s="52">
        <v>179</v>
      </c>
      <c r="E30" s="52"/>
      <c r="F30" s="52">
        <v>179</v>
      </c>
      <c r="G30" s="53">
        <f>D30/F30</f>
        <v>1</v>
      </c>
    </row>
    <row r="31" spans="1:7" x14ac:dyDescent="0.25">
      <c r="A31" t="s">
        <v>37</v>
      </c>
      <c r="B31" t="s">
        <v>410</v>
      </c>
      <c r="C31" t="s">
        <v>36</v>
      </c>
      <c r="D31" s="52">
        <v>864.59999999999991</v>
      </c>
      <c r="E31" s="52">
        <v>35.900000000000006</v>
      </c>
      <c r="F31" s="52">
        <v>900.49999999999989</v>
      </c>
      <c r="G31" s="53">
        <f t="shared" ref="G31:G34" si="0">D31/F31</f>
        <v>0.96013325930038873</v>
      </c>
    </row>
    <row r="32" spans="1:7" x14ac:dyDescent="0.25">
      <c r="A32" t="s">
        <v>135</v>
      </c>
      <c r="B32" t="s">
        <v>407</v>
      </c>
      <c r="C32" t="s">
        <v>22</v>
      </c>
      <c r="D32" s="52">
        <v>13</v>
      </c>
      <c r="E32" s="52"/>
      <c r="F32" s="52">
        <v>13</v>
      </c>
      <c r="G32" s="53">
        <f t="shared" si="0"/>
        <v>1</v>
      </c>
    </row>
    <row r="33" spans="1:8" ht="15.75" thickBot="1" x14ac:dyDescent="0.3">
      <c r="B33" t="s">
        <v>410</v>
      </c>
      <c r="C33" t="s">
        <v>36</v>
      </c>
      <c r="D33" s="52">
        <v>16.5</v>
      </c>
      <c r="E33" s="52"/>
      <c r="F33" s="52">
        <v>16.5</v>
      </c>
      <c r="G33" s="53">
        <f t="shared" si="0"/>
        <v>1</v>
      </c>
    </row>
    <row r="34" spans="1:8" ht="15.75" thickTop="1" x14ac:dyDescent="0.25">
      <c r="A34" t="s">
        <v>707</v>
      </c>
      <c r="D34" s="52">
        <v>1073.0999999999999</v>
      </c>
      <c r="E34" s="52">
        <v>35.900000000000006</v>
      </c>
      <c r="F34" s="52">
        <v>1109</v>
      </c>
      <c r="G34" s="54">
        <f t="shared" si="0"/>
        <v>0.96762849413886376</v>
      </c>
    </row>
    <row r="35" spans="1:8" x14ac:dyDescent="0.25">
      <c r="G35" s="53"/>
    </row>
    <row r="36" spans="1:8" hidden="1" x14ac:dyDescent="0.25">
      <c r="D36" s="52"/>
      <c r="E36" s="52"/>
      <c r="F36" s="52"/>
      <c r="G36" s="52"/>
      <c r="H36" s="55"/>
    </row>
    <row r="37" spans="1:8" hidden="1" x14ac:dyDescent="0.25">
      <c r="D37" s="52"/>
      <c r="E37" s="52"/>
      <c r="F37" s="52"/>
      <c r="G37" s="52"/>
      <c r="H37" s="55"/>
    </row>
    <row r="38" spans="1:8" hidden="1" x14ac:dyDescent="0.25">
      <c r="D38" s="52"/>
      <c r="E38" s="52"/>
      <c r="F38" s="52"/>
      <c r="G38" s="52"/>
      <c r="H38" s="55"/>
    </row>
    <row r="39" spans="1:8" hidden="1" x14ac:dyDescent="0.25">
      <c r="D39" s="52"/>
      <c r="E39" s="52"/>
      <c r="F39" s="52"/>
      <c r="G39" s="52"/>
      <c r="H39" s="55"/>
    </row>
    <row r="40" spans="1:8" hidden="1" x14ac:dyDescent="0.25">
      <c r="H40" s="55"/>
    </row>
    <row r="42" spans="1:8" x14ac:dyDescent="0.25">
      <c r="A42" s="46" t="s">
        <v>713</v>
      </c>
      <c r="B42" s="47"/>
      <c r="C42" s="47"/>
      <c r="D42" s="47"/>
      <c r="E42" s="47"/>
      <c r="F42" s="47"/>
    </row>
    <row r="43" spans="1:8" hidden="1" x14ac:dyDescent="0.25">
      <c r="A43" s="58" t="s">
        <v>714</v>
      </c>
      <c r="D43" s="59" t="s">
        <v>417</v>
      </c>
      <c r="E43" s="47"/>
      <c r="F43" s="47"/>
      <c r="G43" s="50"/>
    </row>
    <row r="44" spans="1:8" x14ac:dyDescent="0.25">
      <c r="A44" s="58" t="s">
        <v>2</v>
      </c>
      <c r="B44" s="58" t="s">
        <v>701</v>
      </c>
      <c r="C44" s="58" t="s">
        <v>9</v>
      </c>
      <c r="D44" s="47" t="s">
        <v>702</v>
      </c>
      <c r="E44" s="47" t="s">
        <v>703</v>
      </c>
      <c r="F44" s="47" t="s">
        <v>707</v>
      </c>
      <c r="G44" s="51" t="s">
        <v>715</v>
      </c>
    </row>
    <row r="45" spans="1:8" x14ac:dyDescent="0.25">
      <c r="A45" t="s">
        <v>15</v>
      </c>
      <c r="B45" t="s">
        <v>407</v>
      </c>
      <c r="C45" t="s">
        <v>22</v>
      </c>
      <c r="D45" s="52">
        <v>33</v>
      </c>
      <c r="E45" s="52">
        <v>4</v>
      </c>
      <c r="F45" s="52">
        <v>37</v>
      </c>
      <c r="G45" s="53">
        <v>0.90480000000000005</v>
      </c>
    </row>
    <row r="46" spans="1:8" x14ac:dyDescent="0.25">
      <c r="A46" t="s">
        <v>37</v>
      </c>
      <c r="B46" t="s">
        <v>410</v>
      </c>
      <c r="C46" t="s">
        <v>36</v>
      </c>
      <c r="D46" s="52">
        <v>232</v>
      </c>
      <c r="E46" s="52">
        <v>20</v>
      </c>
      <c r="F46" s="52">
        <v>252</v>
      </c>
      <c r="G46" s="53">
        <v>0.9405</v>
      </c>
    </row>
    <row r="47" spans="1:8" x14ac:dyDescent="0.25">
      <c r="A47" t="s">
        <v>135</v>
      </c>
      <c r="B47" t="s">
        <v>407</v>
      </c>
      <c r="C47" t="s">
        <v>22</v>
      </c>
      <c r="D47" s="52">
        <v>5</v>
      </c>
      <c r="E47" s="52"/>
      <c r="F47" s="52">
        <v>5</v>
      </c>
      <c r="G47" s="53">
        <f t="shared" ref="G47:G48" si="1">D47/F47</f>
        <v>1</v>
      </c>
    </row>
    <row r="48" spans="1:8" ht="15.75" thickBot="1" x14ac:dyDescent="0.3">
      <c r="B48" t="s">
        <v>410</v>
      </c>
      <c r="C48" t="s">
        <v>36</v>
      </c>
      <c r="D48" s="52">
        <v>9</v>
      </c>
      <c r="E48" s="52"/>
      <c r="F48" s="52">
        <v>9</v>
      </c>
      <c r="G48" s="53">
        <f t="shared" si="1"/>
        <v>1</v>
      </c>
    </row>
    <row r="49" spans="1:7" ht="15.75" thickTop="1" x14ac:dyDescent="0.25">
      <c r="A49" t="s">
        <v>707</v>
      </c>
      <c r="D49" s="52">
        <v>279</v>
      </c>
      <c r="E49" s="52">
        <v>24</v>
      </c>
      <c r="F49" s="52">
        <v>303</v>
      </c>
      <c r="G49" s="54">
        <v>0.93730000000000002</v>
      </c>
    </row>
    <row r="50" spans="1:7" x14ac:dyDescent="0.25">
      <c r="D50" s="52"/>
      <c r="E50" s="52"/>
      <c r="F50" s="52"/>
      <c r="G50" s="55"/>
    </row>
    <row r="51" spans="1:7" hidden="1" x14ac:dyDescent="0.25">
      <c r="D51" s="52"/>
      <c r="E51" s="52"/>
      <c r="F51" s="52"/>
      <c r="G51" s="55"/>
    </row>
    <row r="52" spans="1:7" hidden="1" x14ac:dyDescent="0.25">
      <c r="D52" s="52"/>
      <c r="E52" s="52"/>
      <c r="F52" s="52"/>
      <c r="G52" s="55"/>
    </row>
    <row r="53" spans="1:7" hidden="1" x14ac:dyDescent="0.25">
      <c r="D53" s="52"/>
      <c r="E53" s="52"/>
      <c r="F53" s="52"/>
      <c r="G53" s="55"/>
    </row>
    <row r="54" spans="1:7" hidden="1" x14ac:dyDescent="0.25">
      <c r="G54" s="56"/>
    </row>
    <row r="56" spans="1:7" x14ac:dyDescent="0.25">
      <c r="A56" s="49" t="s">
        <v>379</v>
      </c>
      <c r="B56" s="47"/>
      <c r="C56" s="47"/>
      <c r="D56" s="47"/>
      <c r="E56" s="47"/>
      <c r="F56" s="47"/>
    </row>
    <row r="57" spans="1:7" hidden="1" x14ac:dyDescent="0.25">
      <c r="A57" s="58" t="s">
        <v>716</v>
      </c>
      <c r="D57" s="59" t="s">
        <v>417</v>
      </c>
      <c r="E57" s="47"/>
      <c r="F57" s="47"/>
      <c r="G57" s="50"/>
    </row>
    <row r="58" spans="1:7" x14ac:dyDescent="0.25">
      <c r="A58" s="58" t="s">
        <v>2</v>
      </c>
      <c r="B58" s="58" t="s">
        <v>701</v>
      </c>
      <c r="C58" s="58" t="s">
        <v>9</v>
      </c>
      <c r="D58" s="47" t="s">
        <v>702</v>
      </c>
      <c r="E58" s="47" t="s">
        <v>703</v>
      </c>
      <c r="F58" s="47" t="s">
        <v>707</v>
      </c>
      <c r="G58" s="51" t="s">
        <v>715</v>
      </c>
    </row>
    <row r="59" spans="1:7" x14ac:dyDescent="0.25">
      <c r="A59" t="s">
        <v>15</v>
      </c>
      <c r="B59" t="s">
        <v>407</v>
      </c>
      <c r="C59" t="s">
        <v>22</v>
      </c>
      <c r="D59" s="52">
        <v>11</v>
      </c>
      <c r="E59" s="52">
        <v>4</v>
      </c>
      <c r="F59" s="52">
        <v>15</v>
      </c>
      <c r="G59" s="53">
        <f>D59/F59</f>
        <v>0.73333333333333328</v>
      </c>
    </row>
    <row r="60" spans="1:7" x14ac:dyDescent="0.25">
      <c r="A60" t="s">
        <v>37</v>
      </c>
      <c r="B60" t="s">
        <v>410</v>
      </c>
      <c r="C60" t="s">
        <v>36</v>
      </c>
      <c r="D60" s="52">
        <v>134</v>
      </c>
      <c r="E60" s="52"/>
      <c r="F60" s="52">
        <v>134</v>
      </c>
      <c r="G60" s="53">
        <f t="shared" ref="G60:G64" si="2">D60/F60</f>
        <v>1</v>
      </c>
    </row>
    <row r="61" spans="1:7" x14ac:dyDescent="0.25">
      <c r="A61" t="s">
        <v>135</v>
      </c>
      <c r="B61" t="s">
        <v>407</v>
      </c>
      <c r="C61" t="s">
        <v>22</v>
      </c>
      <c r="D61" s="52">
        <v>3</v>
      </c>
      <c r="E61" s="52"/>
      <c r="F61" s="52">
        <v>3</v>
      </c>
      <c r="G61" s="53">
        <f t="shared" si="2"/>
        <v>1</v>
      </c>
    </row>
    <row r="62" spans="1:7" x14ac:dyDescent="0.25">
      <c r="B62" t="s">
        <v>410</v>
      </c>
      <c r="C62" t="s">
        <v>36</v>
      </c>
      <c r="D62" s="52">
        <v>18</v>
      </c>
      <c r="E62" s="52">
        <v>9</v>
      </c>
      <c r="F62" s="52">
        <v>27</v>
      </c>
      <c r="G62" s="53">
        <f t="shared" si="2"/>
        <v>0.66666666666666663</v>
      </c>
    </row>
    <row r="63" spans="1:7" ht="15.75" thickBot="1" x14ac:dyDescent="0.3">
      <c r="B63" t="s">
        <v>412</v>
      </c>
      <c r="C63" t="s">
        <v>111</v>
      </c>
      <c r="D63" s="52"/>
      <c r="E63" s="52">
        <v>9</v>
      </c>
      <c r="F63" s="52">
        <v>9</v>
      </c>
      <c r="G63" s="53">
        <f t="shared" si="2"/>
        <v>0</v>
      </c>
    </row>
    <row r="64" spans="1:7" ht="15.75" thickTop="1" x14ac:dyDescent="0.25">
      <c r="A64" s="57" t="s">
        <v>707</v>
      </c>
      <c r="B64" s="57"/>
      <c r="C64" s="57"/>
      <c r="D64" s="52">
        <v>166</v>
      </c>
      <c r="E64" s="52">
        <v>22</v>
      </c>
      <c r="F64" s="52">
        <v>188</v>
      </c>
      <c r="G64" s="54">
        <f t="shared" si="2"/>
        <v>0.88297872340425532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7AAC-D652-4463-989D-AEC04180AF5A}">
  <dimension ref="A1:Q5"/>
  <sheetViews>
    <sheetView workbookViewId="0">
      <selection activeCell="Q22" sqref="Q22"/>
    </sheetView>
  </sheetViews>
  <sheetFormatPr baseColWidth="10" defaultRowHeight="15" x14ac:dyDescent="0.25"/>
  <cols>
    <col min="1" max="1" width="31.140625" customWidth="1"/>
    <col min="2" max="2" width="22.140625" customWidth="1"/>
    <col min="3" max="3" width="23.85546875" customWidth="1"/>
    <col min="4" max="4" width="12.7109375" customWidth="1"/>
    <col min="5" max="5" width="7.85546875" customWidth="1"/>
    <col min="6" max="6" width="34.42578125" customWidth="1"/>
    <col min="7" max="7" width="14.5703125" customWidth="1"/>
    <col min="8" max="8" width="10.28515625" customWidth="1"/>
    <col min="9" max="9" width="17.42578125" customWidth="1"/>
    <col min="10" max="10" width="15.42578125" customWidth="1"/>
    <col min="11" max="11" width="12.85546875" customWidth="1"/>
    <col min="12" max="12" width="11" customWidth="1"/>
    <col min="13" max="13" width="20.42578125" customWidth="1"/>
    <col min="14" max="14" width="12.5703125" customWidth="1"/>
    <col min="15" max="15" width="29.85546875" customWidth="1"/>
    <col min="16" max="16" width="13.140625" customWidth="1"/>
    <col min="17" max="17" width="26.85546875" customWidth="1"/>
  </cols>
  <sheetData>
    <row r="1" spans="1:17" ht="15.75" thickBot="1" x14ac:dyDescent="0.3">
      <c r="A1" s="44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692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9</v>
      </c>
      <c r="L1" s="45" t="s">
        <v>697</v>
      </c>
      <c r="M1" s="45" t="s">
        <v>10</v>
      </c>
      <c r="N1" s="45" t="s">
        <v>418</v>
      </c>
      <c r="O1" s="45" t="s">
        <v>11</v>
      </c>
      <c r="P1" s="45" t="s">
        <v>406</v>
      </c>
      <c r="Q1" s="45" t="s">
        <v>12</v>
      </c>
    </row>
    <row r="2" spans="1:17" ht="15.75" thickBot="1" x14ac:dyDescent="0.3">
      <c r="A2" s="18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3">
        <v>46151</v>
      </c>
      <c r="K2" s="1" t="s">
        <v>22</v>
      </c>
      <c r="L2" s="1" t="s">
        <v>407</v>
      </c>
      <c r="M2" s="1" t="s">
        <v>23</v>
      </c>
      <c r="N2" s="1" t="s">
        <v>24</v>
      </c>
      <c r="O2" s="1" t="s">
        <v>25</v>
      </c>
      <c r="P2" s="1" t="s">
        <v>408</v>
      </c>
      <c r="Q2" s="19">
        <v>1</v>
      </c>
    </row>
    <row r="3" spans="1:17" ht="15.75" thickBot="1" x14ac:dyDescent="0.3">
      <c r="A3" s="18" t="s">
        <v>13</v>
      </c>
      <c r="B3" s="1" t="s">
        <v>14</v>
      </c>
      <c r="C3" s="1" t="s">
        <v>15</v>
      </c>
      <c r="D3" s="1" t="s">
        <v>16</v>
      </c>
      <c r="E3" s="1" t="s">
        <v>26</v>
      </c>
      <c r="F3" s="1" t="s">
        <v>27</v>
      </c>
      <c r="G3" s="1" t="s">
        <v>19</v>
      </c>
      <c r="H3" s="1" t="s">
        <v>20</v>
      </c>
      <c r="I3" s="1" t="s">
        <v>21</v>
      </c>
      <c r="J3" s="3">
        <v>46151</v>
      </c>
      <c r="K3" s="1" t="s">
        <v>22</v>
      </c>
      <c r="L3" s="1" t="s">
        <v>407</v>
      </c>
      <c r="M3" s="1" t="s">
        <v>23</v>
      </c>
      <c r="N3" s="1" t="s">
        <v>24</v>
      </c>
      <c r="O3" s="1" t="s">
        <v>25</v>
      </c>
      <c r="P3" s="1" t="s">
        <v>408</v>
      </c>
      <c r="Q3" s="20">
        <v>1</v>
      </c>
    </row>
    <row r="4" spans="1:17" ht="15.75" thickBot="1" x14ac:dyDescent="0.3">
      <c r="A4" s="18" t="s">
        <v>13</v>
      </c>
      <c r="B4" s="1" t="s">
        <v>14</v>
      </c>
      <c r="C4" s="1" t="s">
        <v>15</v>
      </c>
      <c r="D4" s="1" t="s">
        <v>16</v>
      </c>
      <c r="E4" s="1" t="s">
        <v>28</v>
      </c>
      <c r="F4" s="1" t="s">
        <v>29</v>
      </c>
      <c r="G4" s="1" t="s">
        <v>19</v>
      </c>
      <c r="H4" s="1" t="s">
        <v>20</v>
      </c>
      <c r="I4" s="1" t="s">
        <v>21</v>
      </c>
      <c r="J4" s="3">
        <v>46152</v>
      </c>
      <c r="K4" s="1" t="s">
        <v>22</v>
      </c>
      <c r="L4" s="1" t="s">
        <v>407</v>
      </c>
      <c r="M4" s="1" t="s">
        <v>23</v>
      </c>
      <c r="N4" s="1" t="s">
        <v>24</v>
      </c>
      <c r="O4" s="1" t="s">
        <v>30</v>
      </c>
      <c r="P4" s="1" t="s">
        <v>409</v>
      </c>
      <c r="Q4" s="19">
        <v>1</v>
      </c>
    </row>
    <row r="5" spans="1:17" x14ac:dyDescent="0.25">
      <c r="A5" s="25" t="s">
        <v>31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6"/>
      <c r="Q5" s="27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9475-6479-45BD-8FF6-131A99500E71}">
  <dimension ref="A1:O56"/>
  <sheetViews>
    <sheetView topLeftCell="D31" workbookViewId="0">
      <selection activeCell="N38" sqref="N38"/>
    </sheetView>
  </sheetViews>
  <sheetFormatPr baseColWidth="10" defaultRowHeight="15" x14ac:dyDescent="0.25"/>
  <cols>
    <col min="1" max="1" width="27.7109375" customWidth="1"/>
    <col min="2" max="2" width="11" customWidth="1"/>
    <col min="3" max="3" width="22.140625" customWidth="1"/>
    <col min="4" max="4" width="26.140625" customWidth="1"/>
    <col min="5" max="5" width="23.5703125" customWidth="1"/>
    <col min="6" max="6" width="20.42578125" customWidth="1"/>
    <col min="7" max="7" width="38.42578125" customWidth="1"/>
    <col min="8" max="8" width="34.7109375" customWidth="1"/>
    <col min="9" max="9" width="15.140625" customWidth="1"/>
    <col min="10" max="10" width="18.42578125" customWidth="1"/>
    <col min="11" max="11" width="11" customWidth="1"/>
    <col min="12" max="12" width="18.85546875" customWidth="1"/>
    <col min="13" max="13" width="34.7109375" customWidth="1"/>
    <col min="14" max="14" width="13.5703125" customWidth="1"/>
    <col min="15" max="15" width="23.85546875" customWidth="1"/>
  </cols>
  <sheetData>
    <row r="1" spans="1:15" ht="23.25" thickBot="1" x14ac:dyDescent="0.3">
      <c r="A1" s="28" t="s">
        <v>9</v>
      </c>
      <c r="B1" s="21" t="s">
        <v>696</v>
      </c>
      <c r="C1" s="22" t="s">
        <v>1</v>
      </c>
      <c r="D1" s="22" t="s">
        <v>2</v>
      </c>
      <c r="E1" s="22" t="s">
        <v>32</v>
      </c>
      <c r="F1" s="23" t="s">
        <v>10</v>
      </c>
      <c r="G1" s="21" t="s">
        <v>692</v>
      </c>
      <c r="H1" s="22" t="s">
        <v>7</v>
      </c>
      <c r="I1" s="22" t="s">
        <v>33</v>
      </c>
      <c r="J1" s="23" t="s">
        <v>34</v>
      </c>
      <c r="K1" s="21" t="s">
        <v>691</v>
      </c>
      <c r="L1" s="22" t="s">
        <v>0</v>
      </c>
      <c r="M1" s="22" t="s">
        <v>406</v>
      </c>
      <c r="N1" s="24" t="s">
        <v>11</v>
      </c>
      <c r="O1" s="23" t="s">
        <v>35</v>
      </c>
    </row>
    <row r="2" spans="1:15" ht="15.75" thickBot="1" x14ac:dyDescent="0.3">
      <c r="A2" s="18" t="s">
        <v>36</v>
      </c>
      <c r="B2" s="1" t="s">
        <v>410</v>
      </c>
      <c r="C2" s="1" t="s">
        <v>14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414</v>
      </c>
      <c r="O2" s="19">
        <v>1</v>
      </c>
    </row>
    <row r="3" spans="1:15" ht="15.75" thickBot="1" x14ac:dyDescent="0.3">
      <c r="A3" s="18" t="s">
        <v>36</v>
      </c>
      <c r="B3" s="1" t="s">
        <v>410</v>
      </c>
      <c r="C3" s="1" t="s">
        <v>14</v>
      </c>
      <c r="D3" s="1" t="s">
        <v>37</v>
      </c>
      <c r="E3" s="1" t="s">
        <v>38</v>
      </c>
      <c r="F3" s="1" t="s">
        <v>47</v>
      </c>
      <c r="G3" s="1" t="s">
        <v>48</v>
      </c>
      <c r="H3" s="1" t="s">
        <v>49</v>
      </c>
      <c r="I3" s="1" t="s">
        <v>42</v>
      </c>
      <c r="J3" s="1" t="s">
        <v>43</v>
      </c>
      <c r="K3" s="1" t="s">
        <v>44</v>
      </c>
      <c r="L3" s="1" t="s">
        <v>50</v>
      </c>
      <c r="M3" s="1" t="s">
        <v>46</v>
      </c>
      <c r="N3" s="1" t="s">
        <v>414</v>
      </c>
      <c r="O3" s="20">
        <v>1</v>
      </c>
    </row>
    <row r="4" spans="1:15" ht="15.75" thickBot="1" x14ac:dyDescent="0.3">
      <c r="A4" s="18" t="s">
        <v>36</v>
      </c>
      <c r="B4" s="1" t="s">
        <v>410</v>
      </c>
      <c r="C4" s="1" t="s">
        <v>14</v>
      </c>
      <c r="D4" s="1" t="s">
        <v>37</v>
      </c>
      <c r="E4" s="1" t="s">
        <v>38</v>
      </c>
      <c r="F4" s="1" t="s">
        <v>51</v>
      </c>
      <c r="G4" s="1" t="s">
        <v>52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45</v>
      </c>
      <c r="M4" s="1" t="s">
        <v>46</v>
      </c>
      <c r="N4" s="1" t="s">
        <v>414</v>
      </c>
      <c r="O4" s="19">
        <v>1</v>
      </c>
    </row>
    <row r="5" spans="1:15" ht="15.75" thickBot="1" x14ac:dyDescent="0.3">
      <c r="A5" s="18" t="s">
        <v>36</v>
      </c>
      <c r="B5" s="1" t="s">
        <v>410</v>
      </c>
      <c r="C5" s="1" t="s">
        <v>14</v>
      </c>
      <c r="D5" s="1" t="s">
        <v>37</v>
      </c>
      <c r="E5" s="1" t="s">
        <v>38</v>
      </c>
      <c r="F5" s="1" t="s">
        <v>53</v>
      </c>
      <c r="G5" s="1" t="s">
        <v>52</v>
      </c>
      <c r="H5" s="1" t="s">
        <v>41</v>
      </c>
      <c r="I5" s="1" t="s">
        <v>42</v>
      </c>
      <c r="J5" s="1" t="s">
        <v>43</v>
      </c>
      <c r="K5" s="1" t="s">
        <v>44</v>
      </c>
      <c r="L5" s="1" t="s">
        <v>45</v>
      </c>
      <c r="M5" s="1" t="s">
        <v>46</v>
      </c>
      <c r="N5" s="1" t="s">
        <v>414</v>
      </c>
      <c r="O5" s="20">
        <v>1</v>
      </c>
    </row>
    <row r="6" spans="1:15" ht="15.75" thickBot="1" x14ac:dyDescent="0.3">
      <c r="A6" s="18" t="s">
        <v>36</v>
      </c>
      <c r="B6" s="1" t="s">
        <v>410</v>
      </c>
      <c r="C6" s="1" t="s">
        <v>14</v>
      </c>
      <c r="D6" s="1" t="s">
        <v>37</v>
      </c>
      <c r="E6" s="1" t="s">
        <v>38</v>
      </c>
      <c r="F6" s="1" t="s">
        <v>54</v>
      </c>
      <c r="G6" s="1" t="s">
        <v>55</v>
      </c>
      <c r="H6" s="1" t="s">
        <v>41</v>
      </c>
      <c r="I6" s="1" t="s">
        <v>42</v>
      </c>
      <c r="J6" s="1" t="s">
        <v>43</v>
      </c>
      <c r="K6" s="1" t="s">
        <v>44</v>
      </c>
      <c r="L6" s="1" t="s">
        <v>45</v>
      </c>
      <c r="M6" s="1" t="s">
        <v>46</v>
      </c>
      <c r="N6" s="1" t="s">
        <v>414</v>
      </c>
      <c r="O6" s="19">
        <v>1</v>
      </c>
    </row>
    <row r="7" spans="1:15" ht="15.75" thickBot="1" x14ac:dyDescent="0.3">
      <c r="A7" s="18" t="s">
        <v>36</v>
      </c>
      <c r="B7" s="1" t="s">
        <v>410</v>
      </c>
      <c r="C7" s="1" t="s">
        <v>14</v>
      </c>
      <c r="D7" s="1" t="s">
        <v>37</v>
      </c>
      <c r="E7" s="1" t="s">
        <v>38</v>
      </c>
      <c r="F7" s="1" t="s">
        <v>56</v>
      </c>
      <c r="G7" s="1" t="s">
        <v>57</v>
      </c>
      <c r="H7" s="1" t="s">
        <v>58</v>
      </c>
      <c r="I7" s="1" t="s">
        <v>42</v>
      </c>
      <c r="J7" s="1" t="s">
        <v>43</v>
      </c>
      <c r="K7" s="1" t="s">
        <v>44</v>
      </c>
      <c r="L7" s="1" t="s">
        <v>59</v>
      </c>
      <c r="M7" s="1" t="s">
        <v>46</v>
      </c>
      <c r="N7" s="1" t="s">
        <v>414</v>
      </c>
      <c r="O7" s="20">
        <v>1</v>
      </c>
    </row>
    <row r="8" spans="1:15" ht="15.75" thickBot="1" x14ac:dyDescent="0.3">
      <c r="A8" s="18" t="s">
        <v>36</v>
      </c>
      <c r="B8" s="1" t="s">
        <v>410</v>
      </c>
      <c r="C8" s="1" t="s">
        <v>14</v>
      </c>
      <c r="D8" s="1" t="s">
        <v>37</v>
      </c>
      <c r="E8" s="1" t="s">
        <v>38</v>
      </c>
      <c r="F8" s="1" t="s">
        <v>60</v>
      </c>
      <c r="G8" s="1" t="s">
        <v>61</v>
      </c>
      <c r="H8" s="1" t="s">
        <v>62</v>
      </c>
      <c r="I8" s="1" t="s">
        <v>42</v>
      </c>
      <c r="J8" s="1" t="s">
        <v>43</v>
      </c>
      <c r="K8" s="1" t="s">
        <v>44</v>
      </c>
      <c r="L8" s="1" t="s">
        <v>63</v>
      </c>
      <c r="M8" s="1" t="s">
        <v>46</v>
      </c>
      <c r="N8" s="1" t="s">
        <v>414</v>
      </c>
      <c r="O8" s="19">
        <v>1</v>
      </c>
    </row>
    <row r="9" spans="1:15" ht="15.75" thickBot="1" x14ac:dyDescent="0.3">
      <c r="A9" s="18" t="s">
        <v>36</v>
      </c>
      <c r="B9" s="1" t="s">
        <v>410</v>
      </c>
      <c r="C9" s="1" t="s">
        <v>14</v>
      </c>
      <c r="D9" s="1" t="s">
        <v>37</v>
      </c>
      <c r="E9" s="1" t="s">
        <v>38</v>
      </c>
      <c r="F9" s="1" t="s">
        <v>64</v>
      </c>
      <c r="G9" s="1" t="s">
        <v>65</v>
      </c>
      <c r="H9" s="1" t="s">
        <v>41</v>
      </c>
      <c r="I9" s="1" t="s">
        <v>42</v>
      </c>
      <c r="J9" s="1" t="s">
        <v>43</v>
      </c>
      <c r="K9" s="1" t="s">
        <v>44</v>
      </c>
      <c r="L9" s="1" t="s">
        <v>13</v>
      </c>
      <c r="M9" s="1" t="s">
        <v>46</v>
      </c>
      <c r="N9" s="1" t="s">
        <v>414</v>
      </c>
      <c r="O9" s="20">
        <v>1</v>
      </c>
    </row>
    <row r="10" spans="1:15" ht="15.75" thickBot="1" x14ac:dyDescent="0.3">
      <c r="A10" s="18" t="s">
        <v>36</v>
      </c>
      <c r="B10" s="1" t="s">
        <v>410</v>
      </c>
      <c r="C10" s="1" t="s">
        <v>14</v>
      </c>
      <c r="D10" s="1" t="s">
        <v>37</v>
      </c>
      <c r="E10" s="1" t="s">
        <v>38</v>
      </c>
      <c r="F10" s="1" t="s">
        <v>66</v>
      </c>
      <c r="G10" s="1" t="s">
        <v>67</v>
      </c>
      <c r="H10" s="1" t="s">
        <v>68</v>
      </c>
      <c r="I10" s="1" t="s">
        <v>42</v>
      </c>
      <c r="J10" s="1" t="s">
        <v>43</v>
      </c>
      <c r="K10" s="1" t="s">
        <v>44</v>
      </c>
      <c r="L10" s="1" t="s">
        <v>69</v>
      </c>
      <c r="M10" s="1" t="s">
        <v>46</v>
      </c>
      <c r="N10" s="1" t="s">
        <v>414</v>
      </c>
      <c r="O10" s="19">
        <v>1</v>
      </c>
    </row>
    <row r="11" spans="1:15" ht="15.75" thickBot="1" x14ac:dyDescent="0.3">
      <c r="A11" s="18" t="s">
        <v>36</v>
      </c>
      <c r="B11" s="1" t="s">
        <v>410</v>
      </c>
      <c r="C11" s="1" t="s">
        <v>14</v>
      </c>
      <c r="D11" s="1" t="s">
        <v>37</v>
      </c>
      <c r="E11" s="1" t="s">
        <v>38</v>
      </c>
      <c r="F11" s="1" t="s">
        <v>70</v>
      </c>
      <c r="G11" s="1" t="s">
        <v>71</v>
      </c>
      <c r="H11" s="1" t="s">
        <v>72</v>
      </c>
      <c r="I11" s="1" t="s">
        <v>42</v>
      </c>
      <c r="J11" s="1" t="s">
        <v>43</v>
      </c>
      <c r="K11" s="1" t="s">
        <v>44</v>
      </c>
      <c r="L11" s="1" t="s">
        <v>13</v>
      </c>
      <c r="M11" s="1" t="s">
        <v>46</v>
      </c>
      <c r="N11" s="1" t="s">
        <v>414</v>
      </c>
      <c r="O11" s="20">
        <v>1</v>
      </c>
    </row>
    <row r="12" spans="1:15" ht="15.75" thickBot="1" x14ac:dyDescent="0.3">
      <c r="A12" s="18" t="s">
        <v>73</v>
      </c>
      <c r="B12" s="1" t="s">
        <v>411</v>
      </c>
      <c r="C12" s="1" t="s">
        <v>14</v>
      </c>
      <c r="D12" s="1" t="s">
        <v>74</v>
      </c>
      <c r="E12" s="1" t="s">
        <v>23</v>
      </c>
      <c r="F12" s="1" t="s">
        <v>75</v>
      </c>
      <c r="G12" s="1" t="s">
        <v>76</v>
      </c>
      <c r="H12" s="1" t="s">
        <v>77</v>
      </c>
      <c r="I12" s="1" t="s">
        <v>78</v>
      </c>
      <c r="J12" s="1" t="s">
        <v>79</v>
      </c>
      <c r="K12" s="1" t="s">
        <v>80</v>
      </c>
      <c r="L12" s="1" t="s">
        <v>13</v>
      </c>
      <c r="M12" s="1" t="s">
        <v>81</v>
      </c>
      <c r="N12" s="1" t="s">
        <v>698</v>
      </c>
      <c r="O12" s="19">
        <v>1</v>
      </c>
    </row>
    <row r="13" spans="1:15" ht="15.75" thickBot="1" x14ac:dyDescent="0.3">
      <c r="A13" s="18" t="s">
        <v>73</v>
      </c>
      <c r="B13" s="1" t="s">
        <v>411</v>
      </c>
      <c r="C13" s="1" t="s">
        <v>14</v>
      </c>
      <c r="D13" s="1" t="s">
        <v>74</v>
      </c>
      <c r="E13" s="1" t="s">
        <v>23</v>
      </c>
      <c r="F13" s="1" t="s">
        <v>82</v>
      </c>
      <c r="G13" s="1" t="s">
        <v>83</v>
      </c>
      <c r="H13" s="1" t="s">
        <v>84</v>
      </c>
      <c r="I13" s="1" t="s">
        <v>78</v>
      </c>
      <c r="J13" s="1" t="s">
        <v>79</v>
      </c>
      <c r="K13" s="1" t="s">
        <v>80</v>
      </c>
      <c r="L13" s="1" t="s">
        <v>45</v>
      </c>
      <c r="M13" s="1" t="s">
        <v>81</v>
      </c>
      <c r="N13" s="1" t="s">
        <v>698</v>
      </c>
      <c r="O13" s="20">
        <v>1</v>
      </c>
    </row>
    <row r="14" spans="1:15" ht="15.75" thickBot="1" x14ac:dyDescent="0.3">
      <c r="A14" s="18" t="s">
        <v>73</v>
      </c>
      <c r="B14" s="1" t="s">
        <v>411</v>
      </c>
      <c r="C14" s="1" t="s">
        <v>14</v>
      </c>
      <c r="D14" s="1" t="s">
        <v>74</v>
      </c>
      <c r="E14" s="1" t="s">
        <v>23</v>
      </c>
      <c r="F14" s="1" t="s">
        <v>85</v>
      </c>
      <c r="G14" s="1" t="s">
        <v>86</v>
      </c>
      <c r="H14" s="1" t="s">
        <v>84</v>
      </c>
      <c r="I14" s="1" t="s">
        <v>78</v>
      </c>
      <c r="J14" s="1" t="s">
        <v>79</v>
      </c>
      <c r="K14" s="1" t="s">
        <v>80</v>
      </c>
      <c r="L14" s="1" t="s">
        <v>45</v>
      </c>
      <c r="M14" s="1" t="s">
        <v>81</v>
      </c>
      <c r="N14" s="1" t="s">
        <v>698</v>
      </c>
      <c r="O14" s="19">
        <v>1</v>
      </c>
    </row>
    <row r="15" spans="1:15" ht="15.75" thickBot="1" x14ac:dyDescent="0.3">
      <c r="A15" s="18" t="s">
        <v>73</v>
      </c>
      <c r="B15" s="1" t="s">
        <v>411</v>
      </c>
      <c r="C15" s="1" t="s">
        <v>14</v>
      </c>
      <c r="D15" s="1" t="s">
        <v>74</v>
      </c>
      <c r="E15" s="1" t="s">
        <v>23</v>
      </c>
      <c r="F15" s="1" t="s">
        <v>87</v>
      </c>
      <c r="G15" s="1" t="s">
        <v>88</v>
      </c>
      <c r="H15" s="1" t="s">
        <v>84</v>
      </c>
      <c r="I15" s="1" t="s">
        <v>78</v>
      </c>
      <c r="J15" s="1" t="s">
        <v>79</v>
      </c>
      <c r="K15" s="1" t="s">
        <v>80</v>
      </c>
      <c r="L15" s="1" t="s">
        <v>45</v>
      </c>
      <c r="M15" s="1" t="s">
        <v>81</v>
      </c>
      <c r="N15" s="1" t="s">
        <v>698</v>
      </c>
      <c r="O15" s="20">
        <v>1</v>
      </c>
    </row>
    <row r="16" spans="1:15" ht="15.75" thickBot="1" x14ac:dyDescent="0.3">
      <c r="A16" s="18" t="s">
        <v>73</v>
      </c>
      <c r="B16" s="1" t="s">
        <v>411</v>
      </c>
      <c r="C16" s="1" t="s">
        <v>14</v>
      </c>
      <c r="D16" s="1" t="s">
        <v>74</v>
      </c>
      <c r="E16" s="1" t="s">
        <v>23</v>
      </c>
      <c r="F16" s="1" t="s">
        <v>89</v>
      </c>
      <c r="G16" s="1" t="s">
        <v>90</v>
      </c>
      <c r="H16" s="1" t="s">
        <v>84</v>
      </c>
      <c r="I16" s="1" t="s">
        <v>78</v>
      </c>
      <c r="J16" s="1" t="s">
        <v>79</v>
      </c>
      <c r="K16" s="1" t="s">
        <v>80</v>
      </c>
      <c r="L16" s="1" t="s">
        <v>45</v>
      </c>
      <c r="M16" s="1" t="s">
        <v>81</v>
      </c>
      <c r="N16" s="1" t="s">
        <v>698</v>
      </c>
      <c r="O16" s="19">
        <v>1</v>
      </c>
    </row>
    <row r="17" spans="1:15" ht="15.75" thickBot="1" x14ac:dyDescent="0.3">
      <c r="A17" s="18" t="s">
        <v>73</v>
      </c>
      <c r="B17" s="1" t="s">
        <v>411</v>
      </c>
      <c r="C17" s="1" t="s">
        <v>14</v>
      </c>
      <c r="D17" s="1" t="s">
        <v>74</v>
      </c>
      <c r="E17" s="1" t="s">
        <v>23</v>
      </c>
      <c r="F17" s="1" t="s">
        <v>91</v>
      </c>
      <c r="G17" s="1" t="s">
        <v>92</v>
      </c>
      <c r="H17" s="1" t="s">
        <v>62</v>
      </c>
      <c r="I17" s="1" t="s">
        <v>78</v>
      </c>
      <c r="J17" s="1" t="s">
        <v>79</v>
      </c>
      <c r="K17" s="1" t="s">
        <v>80</v>
      </c>
      <c r="L17" s="1" t="s">
        <v>45</v>
      </c>
      <c r="M17" s="1" t="s">
        <v>81</v>
      </c>
      <c r="N17" s="1" t="s">
        <v>698</v>
      </c>
      <c r="O17" s="20">
        <v>1</v>
      </c>
    </row>
    <row r="18" spans="1:15" ht="15.75" thickBot="1" x14ac:dyDescent="0.3">
      <c r="A18" s="18" t="s">
        <v>73</v>
      </c>
      <c r="B18" s="1" t="s">
        <v>411</v>
      </c>
      <c r="C18" s="1" t="s">
        <v>14</v>
      </c>
      <c r="D18" s="1" t="s">
        <v>74</v>
      </c>
      <c r="E18" s="1" t="s">
        <v>23</v>
      </c>
      <c r="F18" s="1" t="s">
        <v>93</v>
      </c>
      <c r="G18" s="1" t="s">
        <v>94</v>
      </c>
      <c r="H18" s="1" t="s">
        <v>95</v>
      </c>
      <c r="I18" s="1" t="s">
        <v>78</v>
      </c>
      <c r="J18" s="1" t="s">
        <v>79</v>
      </c>
      <c r="K18" s="1" t="s">
        <v>80</v>
      </c>
      <c r="L18" s="1" t="s">
        <v>45</v>
      </c>
      <c r="M18" s="1" t="s">
        <v>81</v>
      </c>
      <c r="N18" s="1" t="s">
        <v>698</v>
      </c>
      <c r="O18" s="19">
        <v>1</v>
      </c>
    </row>
    <row r="19" spans="1:15" ht="15.75" thickBot="1" x14ac:dyDescent="0.3">
      <c r="A19" s="18" t="s">
        <v>73</v>
      </c>
      <c r="B19" s="1" t="s">
        <v>411</v>
      </c>
      <c r="C19" s="1" t="s">
        <v>14</v>
      </c>
      <c r="D19" s="1" t="s">
        <v>74</v>
      </c>
      <c r="E19" s="1" t="s">
        <v>23</v>
      </c>
      <c r="F19" s="1" t="s">
        <v>96</v>
      </c>
      <c r="G19" s="1" t="s">
        <v>97</v>
      </c>
      <c r="H19" s="1" t="s">
        <v>95</v>
      </c>
      <c r="I19" s="1" t="s">
        <v>78</v>
      </c>
      <c r="J19" s="1" t="s">
        <v>79</v>
      </c>
      <c r="K19" s="1" t="s">
        <v>80</v>
      </c>
      <c r="L19" s="1" t="s">
        <v>45</v>
      </c>
      <c r="M19" s="1" t="s">
        <v>81</v>
      </c>
      <c r="N19" s="1" t="s">
        <v>698</v>
      </c>
      <c r="O19" s="20">
        <v>1</v>
      </c>
    </row>
    <row r="20" spans="1:15" ht="15.75" thickBot="1" x14ac:dyDescent="0.3">
      <c r="A20" s="18" t="s">
        <v>73</v>
      </c>
      <c r="B20" s="1" t="s">
        <v>411</v>
      </c>
      <c r="C20" s="1" t="s">
        <v>14</v>
      </c>
      <c r="D20" s="1" t="s">
        <v>74</v>
      </c>
      <c r="E20" s="1" t="s">
        <v>23</v>
      </c>
      <c r="F20" s="1" t="s">
        <v>98</v>
      </c>
      <c r="G20" s="1" t="s">
        <v>99</v>
      </c>
      <c r="H20" s="1" t="s">
        <v>84</v>
      </c>
      <c r="I20" s="1" t="s">
        <v>78</v>
      </c>
      <c r="J20" s="1" t="s">
        <v>79</v>
      </c>
      <c r="K20" s="1" t="s">
        <v>80</v>
      </c>
      <c r="L20" s="1" t="s">
        <v>45</v>
      </c>
      <c r="M20" s="1" t="s">
        <v>81</v>
      </c>
      <c r="N20" s="1" t="s">
        <v>698</v>
      </c>
      <c r="O20" s="19">
        <v>1</v>
      </c>
    </row>
    <row r="21" spans="1:15" ht="15.75" thickBot="1" x14ac:dyDescent="0.3">
      <c r="A21" s="18" t="s">
        <v>73</v>
      </c>
      <c r="B21" s="1" t="s">
        <v>411</v>
      </c>
      <c r="C21" s="1" t="s">
        <v>14</v>
      </c>
      <c r="D21" s="1" t="s">
        <v>74</v>
      </c>
      <c r="E21" s="1" t="s">
        <v>23</v>
      </c>
      <c r="F21" s="1" t="s">
        <v>100</v>
      </c>
      <c r="G21" s="1" t="s">
        <v>101</v>
      </c>
      <c r="H21" s="1" t="s">
        <v>102</v>
      </c>
      <c r="I21" s="1" t="s">
        <v>78</v>
      </c>
      <c r="J21" s="1" t="s">
        <v>79</v>
      </c>
      <c r="K21" s="1" t="s">
        <v>80</v>
      </c>
      <c r="L21" s="1" t="s">
        <v>45</v>
      </c>
      <c r="M21" s="1" t="s">
        <v>81</v>
      </c>
      <c r="N21" s="1" t="s">
        <v>698</v>
      </c>
      <c r="O21" s="20">
        <v>1</v>
      </c>
    </row>
    <row r="22" spans="1:15" ht="15.75" thickBot="1" x14ac:dyDescent="0.3">
      <c r="A22" s="18" t="s">
        <v>73</v>
      </c>
      <c r="B22" s="1" t="s">
        <v>411</v>
      </c>
      <c r="C22" s="1" t="s">
        <v>14</v>
      </c>
      <c r="D22" s="1" t="s">
        <v>74</v>
      </c>
      <c r="E22" s="1" t="s">
        <v>23</v>
      </c>
      <c r="F22" s="1" t="s">
        <v>103</v>
      </c>
      <c r="G22" s="1" t="s">
        <v>104</v>
      </c>
      <c r="H22" s="1" t="s">
        <v>95</v>
      </c>
      <c r="I22" s="1" t="s">
        <v>78</v>
      </c>
      <c r="J22" s="1" t="s">
        <v>79</v>
      </c>
      <c r="K22" s="1" t="s">
        <v>80</v>
      </c>
      <c r="L22" s="1" t="s">
        <v>45</v>
      </c>
      <c r="M22" s="1" t="s">
        <v>81</v>
      </c>
      <c r="N22" s="1" t="s">
        <v>698</v>
      </c>
      <c r="O22" s="19">
        <v>1</v>
      </c>
    </row>
    <row r="23" spans="1:15" ht="15.75" thickBot="1" x14ac:dyDescent="0.3">
      <c r="A23" s="18" t="s">
        <v>73</v>
      </c>
      <c r="B23" s="1" t="s">
        <v>411</v>
      </c>
      <c r="C23" s="1" t="s">
        <v>14</v>
      </c>
      <c r="D23" s="1" t="s">
        <v>74</v>
      </c>
      <c r="E23" s="1" t="s">
        <v>23</v>
      </c>
      <c r="F23" s="1" t="s">
        <v>105</v>
      </c>
      <c r="G23" s="1" t="s">
        <v>106</v>
      </c>
      <c r="H23" s="1" t="s">
        <v>95</v>
      </c>
      <c r="I23" s="1" t="s">
        <v>78</v>
      </c>
      <c r="J23" s="1" t="s">
        <v>79</v>
      </c>
      <c r="K23" s="1" t="s">
        <v>80</v>
      </c>
      <c r="L23" s="1" t="s">
        <v>45</v>
      </c>
      <c r="M23" s="1" t="s">
        <v>81</v>
      </c>
      <c r="N23" s="1" t="s">
        <v>698</v>
      </c>
      <c r="O23" s="20">
        <v>1</v>
      </c>
    </row>
    <row r="24" spans="1:15" ht="15.75" thickBot="1" x14ac:dyDescent="0.3">
      <c r="A24" s="18" t="s">
        <v>73</v>
      </c>
      <c r="B24" s="1" t="s">
        <v>411</v>
      </c>
      <c r="C24" s="1" t="s">
        <v>14</v>
      </c>
      <c r="D24" s="1" t="s">
        <v>74</v>
      </c>
      <c r="E24" s="1" t="s">
        <v>23</v>
      </c>
      <c r="F24" s="1" t="s">
        <v>107</v>
      </c>
      <c r="G24" s="1" t="s">
        <v>108</v>
      </c>
      <c r="H24" s="1" t="s">
        <v>84</v>
      </c>
      <c r="I24" s="1" t="s">
        <v>78</v>
      </c>
      <c r="J24" s="1" t="s">
        <v>79</v>
      </c>
      <c r="K24" s="1" t="s">
        <v>80</v>
      </c>
      <c r="L24" s="1" t="s">
        <v>13</v>
      </c>
      <c r="M24" s="1" t="s">
        <v>81</v>
      </c>
      <c r="N24" s="1" t="s">
        <v>698</v>
      </c>
      <c r="O24" s="19">
        <v>1</v>
      </c>
    </row>
    <row r="25" spans="1:15" ht="15.75" thickBot="1" x14ac:dyDescent="0.3">
      <c r="A25" s="18" t="s">
        <v>73</v>
      </c>
      <c r="B25" s="1" t="s">
        <v>411</v>
      </c>
      <c r="C25" s="1" t="s">
        <v>14</v>
      </c>
      <c r="D25" s="1" t="s">
        <v>74</v>
      </c>
      <c r="E25" s="1" t="s">
        <v>23</v>
      </c>
      <c r="F25" s="1" t="s">
        <v>109</v>
      </c>
      <c r="G25" s="1" t="s">
        <v>110</v>
      </c>
      <c r="H25" s="1" t="s">
        <v>84</v>
      </c>
      <c r="I25" s="1" t="s">
        <v>78</v>
      </c>
      <c r="J25" s="1" t="s">
        <v>79</v>
      </c>
      <c r="K25" s="1" t="s">
        <v>80</v>
      </c>
      <c r="L25" s="1" t="s">
        <v>13</v>
      </c>
      <c r="M25" s="1" t="s">
        <v>81</v>
      </c>
      <c r="N25" s="1" t="s">
        <v>698</v>
      </c>
      <c r="O25" s="20">
        <v>1</v>
      </c>
    </row>
    <row r="26" spans="1:15" ht="15.75" thickBot="1" x14ac:dyDescent="0.3">
      <c r="A26" s="18" t="s">
        <v>111</v>
      </c>
      <c r="B26" s="1" t="s">
        <v>412</v>
      </c>
      <c r="C26" s="1" t="s">
        <v>14</v>
      </c>
      <c r="D26" s="1" t="s">
        <v>74</v>
      </c>
      <c r="E26" s="1" t="s">
        <v>23</v>
      </c>
      <c r="F26" s="1" t="s">
        <v>112</v>
      </c>
      <c r="G26" s="1" t="s">
        <v>113</v>
      </c>
      <c r="H26" s="1" t="s">
        <v>114</v>
      </c>
      <c r="I26" s="1" t="s">
        <v>78</v>
      </c>
      <c r="J26" s="1" t="s">
        <v>79</v>
      </c>
      <c r="K26" s="1" t="s">
        <v>80</v>
      </c>
      <c r="L26" s="1" t="s">
        <v>59</v>
      </c>
      <c r="M26" s="1" t="s">
        <v>115</v>
      </c>
      <c r="N26" s="1" t="s">
        <v>699</v>
      </c>
      <c r="O26" s="19">
        <v>1</v>
      </c>
    </row>
    <row r="27" spans="1:15" ht="15.75" thickBot="1" x14ac:dyDescent="0.3">
      <c r="A27" s="18" t="s">
        <v>111</v>
      </c>
      <c r="B27" s="1" t="s">
        <v>412</v>
      </c>
      <c r="C27" s="1" t="s">
        <v>14</v>
      </c>
      <c r="D27" s="1" t="s">
        <v>74</v>
      </c>
      <c r="E27" s="1" t="s">
        <v>23</v>
      </c>
      <c r="F27" s="1" t="s">
        <v>116</v>
      </c>
      <c r="G27" s="1" t="s">
        <v>117</v>
      </c>
      <c r="H27" s="1" t="s">
        <v>114</v>
      </c>
      <c r="I27" s="1" t="s">
        <v>78</v>
      </c>
      <c r="J27" s="1" t="s">
        <v>118</v>
      </c>
      <c r="K27" s="1" t="s">
        <v>119</v>
      </c>
      <c r="L27" s="1" t="s">
        <v>59</v>
      </c>
      <c r="M27" s="1" t="s">
        <v>115</v>
      </c>
      <c r="N27" s="1" t="s">
        <v>699</v>
      </c>
      <c r="O27" s="20">
        <v>1</v>
      </c>
    </row>
    <row r="28" spans="1:15" ht="15.75" thickBot="1" x14ac:dyDescent="0.3">
      <c r="A28" s="18" t="s">
        <v>111</v>
      </c>
      <c r="B28" s="1" t="s">
        <v>412</v>
      </c>
      <c r="C28" s="1" t="s">
        <v>14</v>
      </c>
      <c r="D28" s="1" t="s">
        <v>74</v>
      </c>
      <c r="E28" s="1" t="s">
        <v>23</v>
      </c>
      <c r="F28" s="1" t="s">
        <v>120</v>
      </c>
      <c r="G28" s="1" t="s">
        <v>121</v>
      </c>
      <c r="H28" s="1" t="s">
        <v>114</v>
      </c>
      <c r="I28" s="1" t="s">
        <v>78</v>
      </c>
      <c r="J28" s="1" t="s">
        <v>118</v>
      </c>
      <c r="K28" s="1" t="s">
        <v>119</v>
      </c>
      <c r="L28" s="1" t="s">
        <v>59</v>
      </c>
      <c r="M28" s="1" t="s">
        <v>115</v>
      </c>
      <c r="N28" s="1" t="s">
        <v>699</v>
      </c>
      <c r="O28" s="19">
        <v>1</v>
      </c>
    </row>
    <row r="29" spans="1:15" ht="15.75" thickBot="1" x14ac:dyDescent="0.3">
      <c r="A29" s="18" t="s">
        <v>111</v>
      </c>
      <c r="B29" s="1" t="s">
        <v>412</v>
      </c>
      <c r="C29" s="1" t="s">
        <v>14</v>
      </c>
      <c r="D29" s="1" t="s">
        <v>74</v>
      </c>
      <c r="E29" s="1" t="s">
        <v>23</v>
      </c>
      <c r="F29" s="1" t="s">
        <v>122</v>
      </c>
      <c r="G29" s="1" t="s">
        <v>123</v>
      </c>
      <c r="H29" s="1" t="s">
        <v>114</v>
      </c>
      <c r="I29" s="1" t="s">
        <v>78</v>
      </c>
      <c r="J29" s="1" t="s">
        <v>79</v>
      </c>
      <c r="K29" s="1" t="s">
        <v>80</v>
      </c>
      <c r="L29" s="1" t="s">
        <v>59</v>
      </c>
      <c r="M29" s="1" t="s">
        <v>115</v>
      </c>
      <c r="N29" s="1" t="s">
        <v>699</v>
      </c>
      <c r="O29" s="20">
        <v>1</v>
      </c>
    </row>
    <row r="30" spans="1:15" ht="15.75" thickBot="1" x14ac:dyDescent="0.3">
      <c r="A30" s="18" t="s">
        <v>111</v>
      </c>
      <c r="B30" s="1" t="s">
        <v>412</v>
      </c>
      <c r="C30" s="1" t="s">
        <v>14</v>
      </c>
      <c r="D30" s="1" t="s">
        <v>74</v>
      </c>
      <c r="E30" s="1" t="s">
        <v>23</v>
      </c>
      <c r="F30" s="1" t="s">
        <v>124</v>
      </c>
      <c r="G30" s="1" t="s">
        <v>125</v>
      </c>
      <c r="H30" s="1" t="s">
        <v>126</v>
      </c>
      <c r="I30" s="1" t="s">
        <v>78</v>
      </c>
      <c r="J30" s="1" t="s">
        <v>79</v>
      </c>
      <c r="K30" s="1" t="s">
        <v>80</v>
      </c>
      <c r="L30" s="1" t="s">
        <v>13</v>
      </c>
      <c r="M30" s="1" t="s">
        <v>115</v>
      </c>
      <c r="N30" s="1" t="s">
        <v>699</v>
      </c>
      <c r="O30" s="19">
        <v>1</v>
      </c>
    </row>
    <row r="31" spans="1:15" ht="15.75" thickBot="1" x14ac:dyDescent="0.3">
      <c r="A31" s="18" t="s">
        <v>111</v>
      </c>
      <c r="B31" s="1" t="s">
        <v>412</v>
      </c>
      <c r="C31" s="1" t="s">
        <v>14</v>
      </c>
      <c r="D31" s="1" t="s">
        <v>74</v>
      </c>
      <c r="E31" s="1" t="s">
        <v>23</v>
      </c>
      <c r="F31" s="1" t="s">
        <v>127</v>
      </c>
      <c r="G31" s="1" t="s">
        <v>128</v>
      </c>
      <c r="H31" s="1" t="s">
        <v>129</v>
      </c>
      <c r="I31" s="1" t="s">
        <v>78</v>
      </c>
      <c r="J31" s="1" t="s">
        <v>79</v>
      </c>
      <c r="K31" s="1" t="s">
        <v>80</v>
      </c>
      <c r="L31" s="1" t="s">
        <v>13</v>
      </c>
      <c r="M31" s="1" t="s">
        <v>115</v>
      </c>
      <c r="N31" s="1" t="s">
        <v>699</v>
      </c>
      <c r="O31" s="20">
        <v>1</v>
      </c>
    </row>
    <row r="32" spans="1:15" ht="15.75" thickBot="1" x14ac:dyDescent="0.3">
      <c r="A32" s="18" t="s">
        <v>111</v>
      </c>
      <c r="B32" s="1" t="s">
        <v>412</v>
      </c>
      <c r="C32" s="1" t="s">
        <v>14</v>
      </c>
      <c r="D32" s="1" t="s">
        <v>74</v>
      </c>
      <c r="E32" s="1" t="s">
        <v>23</v>
      </c>
      <c r="F32" s="1" t="s">
        <v>130</v>
      </c>
      <c r="G32" s="1" t="s">
        <v>131</v>
      </c>
      <c r="H32" s="1" t="s">
        <v>132</v>
      </c>
      <c r="I32" s="1" t="s">
        <v>78</v>
      </c>
      <c r="J32" s="1" t="s">
        <v>79</v>
      </c>
      <c r="K32" s="1" t="s">
        <v>80</v>
      </c>
      <c r="L32" s="1" t="s">
        <v>13</v>
      </c>
      <c r="M32" s="1" t="s">
        <v>115</v>
      </c>
      <c r="N32" s="1" t="s">
        <v>699</v>
      </c>
      <c r="O32" s="19">
        <v>1</v>
      </c>
    </row>
    <row r="33" spans="1:15" ht="15.75" thickBot="1" x14ac:dyDescent="0.3">
      <c r="A33" s="18" t="s">
        <v>111</v>
      </c>
      <c r="B33" s="1" t="s">
        <v>412</v>
      </c>
      <c r="C33" s="1" t="s">
        <v>14</v>
      </c>
      <c r="D33" s="1" t="s">
        <v>74</v>
      </c>
      <c r="E33" s="1" t="s">
        <v>23</v>
      </c>
      <c r="F33" s="1" t="s">
        <v>133</v>
      </c>
      <c r="G33" s="1" t="s">
        <v>134</v>
      </c>
      <c r="H33" s="1" t="s">
        <v>114</v>
      </c>
      <c r="I33" s="1" t="s">
        <v>78</v>
      </c>
      <c r="J33" s="1" t="s">
        <v>79</v>
      </c>
      <c r="K33" s="1" t="s">
        <v>80</v>
      </c>
      <c r="L33" s="1" t="s">
        <v>45</v>
      </c>
      <c r="M33" s="1" t="s">
        <v>115</v>
      </c>
      <c r="N33" s="1" t="s">
        <v>699</v>
      </c>
      <c r="O33" s="20">
        <v>1</v>
      </c>
    </row>
    <row r="34" spans="1:15" ht="15.75" thickBot="1" x14ac:dyDescent="0.3">
      <c r="A34" s="18" t="s">
        <v>111</v>
      </c>
      <c r="B34" s="1" t="s">
        <v>412</v>
      </c>
      <c r="C34" s="1" t="s">
        <v>14</v>
      </c>
      <c r="D34" s="1" t="s">
        <v>135</v>
      </c>
      <c r="E34" s="1" t="s">
        <v>136</v>
      </c>
      <c r="F34" s="1" t="s">
        <v>137</v>
      </c>
      <c r="G34" s="1" t="s">
        <v>138</v>
      </c>
      <c r="H34" s="1" t="s">
        <v>139</v>
      </c>
      <c r="I34" s="1" t="s">
        <v>42</v>
      </c>
      <c r="J34" s="1" t="s">
        <v>140</v>
      </c>
      <c r="K34" s="1" t="s">
        <v>141</v>
      </c>
      <c r="L34" s="1" t="s">
        <v>45</v>
      </c>
      <c r="M34" s="1" t="s">
        <v>115</v>
      </c>
      <c r="N34" s="1" t="s">
        <v>699</v>
      </c>
      <c r="O34" s="19">
        <v>1</v>
      </c>
    </row>
    <row r="35" spans="1:15" ht="15.75" thickBot="1" x14ac:dyDescent="0.3">
      <c r="A35" s="18" t="s">
        <v>111</v>
      </c>
      <c r="B35" s="1" t="s">
        <v>412</v>
      </c>
      <c r="C35" s="1" t="s">
        <v>14</v>
      </c>
      <c r="D35" s="1" t="s">
        <v>135</v>
      </c>
      <c r="E35" s="1" t="s">
        <v>136</v>
      </c>
      <c r="F35" s="1" t="s">
        <v>142</v>
      </c>
      <c r="G35" s="1" t="s">
        <v>138</v>
      </c>
      <c r="H35" s="1" t="s">
        <v>139</v>
      </c>
      <c r="I35" s="1" t="s">
        <v>42</v>
      </c>
      <c r="J35" s="1" t="s">
        <v>140</v>
      </c>
      <c r="K35" s="1" t="s">
        <v>141</v>
      </c>
      <c r="L35" s="1" t="s">
        <v>13</v>
      </c>
      <c r="M35" s="1" t="s">
        <v>115</v>
      </c>
      <c r="N35" s="1" t="s">
        <v>699</v>
      </c>
      <c r="O35" s="20">
        <v>1</v>
      </c>
    </row>
    <row r="36" spans="1:15" ht="15.75" thickBot="1" x14ac:dyDescent="0.3">
      <c r="A36" s="18" t="s">
        <v>111</v>
      </c>
      <c r="B36" s="1" t="s">
        <v>412</v>
      </c>
      <c r="C36" s="1" t="s">
        <v>14</v>
      </c>
      <c r="D36" s="1" t="s">
        <v>135</v>
      </c>
      <c r="E36" s="1" t="s">
        <v>136</v>
      </c>
      <c r="F36" s="1" t="s">
        <v>143</v>
      </c>
      <c r="G36" s="1" t="s">
        <v>144</v>
      </c>
      <c r="H36" s="1" t="s">
        <v>145</v>
      </c>
      <c r="I36" s="1" t="s">
        <v>146</v>
      </c>
      <c r="J36" s="1" t="s">
        <v>147</v>
      </c>
      <c r="K36" s="1" t="s">
        <v>148</v>
      </c>
      <c r="L36" s="1" t="s">
        <v>45</v>
      </c>
      <c r="M36" s="1" t="s">
        <v>115</v>
      </c>
      <c r="N36" s="1" t="s">
        <v>699</v>
      </c>
      <c r="O36" s="19">
        <v>1</v>
      </c>
    </row>
    <row r="37" spans="1:15" ht="15.75" thickBot="1" x14ac:dyDescent="0.3">
      <c r="A37" s="18" t="s">
        <v>22</v>
      </c>
      <c r="B37" s="1" t="s">
        <v>407</v>
      </c>
      <c r="C37" s="1" t="s">
        <v>14</v>
      </c>
      <c r="D37" s="1" t="s">
        <v>15</v>
      </c>
      <c r="E37" s="1" t="s">
        <v>149</v>
      </c>
      <c r="F37" s="1" t="s">
        <v>150</v>
      </c>
      <c r="G37" s="1" t="s">
        <v>151</v>
      </c>
      <c r="H37" s="1" t="s">
        <v>152</v>
      </c>
      <c r="I37" s="1" t="s">
        <v>42</v>
      </c>
      <c r="J37" s="1" t="s">
        <v>43</v>
      </c>
      <c r="K37" s="1" t="s">
        <v>44</v>
      </c>
      <c r="L37" s="1" t="s">
        <v>45</v>
      </c>
      <c r="M37" s="1" t="s">
        <v>30</v>
      </c>
      <c r="N37" s="1" t="s">
        <v>409</v>
      </c>
      <c r="O37" s="20">
        <v>1</v>
      </c>
    </row>
    <row r="38" spans="1:15" ht="15.75" thickBot="1" x14ac:dyDescent="0.3">
      <c r="A38" s="18" t="s">
        <v>22</v>
      </c>
      <c r="B38" s="1" t="s">
        <v>407</v>
      </c>
      <c r="C38" s="1" t="s">
        <v>14</v>
      </c>
      <c r="D38" s="1" t="s">
        <v>15</v>
      </c>
      <c r="E38" s="1" t="s">
        <v>149</v>
      </c>
      <c r="F38" s="1" t="s">
        <v>153</v>
      </c>
      <c r="G38" s="1" t="s">
        <v>154</v>
      </c>
      <c r="H38" s="1" t="s">
        <v>114</v>
      </c>
      <c r="I38" s="1" t="s">
        <v>42</v>
      </c>
      <c r="J38" s="1" t="s">
        <v>140</v>
      </c>
      <c r="K38" s="1" t="s">
        <v>141</v>
      </c>
      <c r="L38" s="1" t="s">
        <v>13</v>
      </c>
      <c r="M38" s="1" t="s">
        <v>30</v>
      </c>
      <c r="N38" s="1" t="s">
        <v>409</v>
      </c>
      <c r="O38" s="19">
        <v>1</v>
      </c>
    </row>
    <row r="39" spans="1:15" ht="15.75" thickBot="1" x14ac:dyDescent="0.3">
      <c r="A39" s="18" t="s">
        <v>22</v>
      </c>
      <c r="B39" s="1" t="s">
        <v>407</v>
      </c>
      <c r="C39" s="1" t="s">
        <v>14</v>
      </c>
      <c r="D39" s="1" t="s">
        <v>15</v>
      </c>
      <c r="E39" s="1" t="s">
        <v>149</v>
      </c>
      <c r="F39" s="1" t="s">
        <v>155</v>
      </c>
      <c r="G39" s="1" t="s">
        <v>156</v>
      </c>
      <c r="H39" s="1" t="s">
        <v>126</v>
      </c>
      <c r="I39" s="1" t="s">
        <v>42</v>
      </c>
      <c r="J39" s="1" t="s">
        <v>140</v>
      </c>
      <c r="K39" s="1" t="s">
        <v>141</v>
      </c>
      <c r="L39" s="1" t="s">
        <v>45</v>
      </c>
      <c r="M39" s="1" t="s">
        <v>30</v>
      </c>
      <c r="N39" s="1" t="s">
        <v>409</v>
      </c>
      <c r="O39" s="20">
        <v>1</v>
      </c>
    </row>
    <row r="40" spans="1:15" ht="15.75" thickBot="1" x14ac:dyDescent="0.3">
      <c r="A40" s="18" t="s">
        <v>22</v>
      </c>
      <c r="B40" s="1" t="s">
        <v>407</v>
      </c>
      <c r="C40" s="1" t="s">
        <v>14</v>
      </c>
      <c r="D40" s="1" t="s">
        <v>15</v>
      </c>
      <c r="E40" s="1" t="s">
        <v>149</v>
      </c>
      <c r="F40" s="1" t="s">
        <v>157</v>
      </c>
      <c r="G40" s="1" t="s">
        <v>158</v>
      </c>
      <c r="H40" s="1" t="s">
        <v>152</v>
      </c>
      <c r="I40" s="1" t="s">
        <v>42</v>
      </c>
      <c r="J40" s="1" t="s">
        <v>43</v>
      </c>
      <c r="K40" s="1" t="s">
        <v>44</v>
      </c>
      <c r="L40" s="1" t="s">
        <v>45</v>
      </c>
      <c r="M40" s="1" t="s">
        <v>30</v>
      </c>
      <c r="N40" s="1" t="s">
        <v>409</v>
      </c>
      <c r="O40" s="19">
        <v>1</v>
      </c>
    </row>
    <row r="41" spans="1:15" ht="15.75" thickBot="1" x14ac:dyDescent="0.3">
      <c r="A41" s="18" t="s">
        <v>22</v>
      </c>
      <c r="B41" s="1" t="s">
        <v>407</v>
      </c>
      <c r="C41" s="1" t="s">
        <v>14</v>
      </c>
      <c r="D41" s="1" t="s">
        <v>15</v>
      </c>
      <c r="E41" s="1" t="s">
        <v>149</v>
      </c>
      <c r="F41" s="1" t="s">
        <v>159</v>
      </c>
      <c r="G41" s="1" t="s">
        <v>160</v>
      </c>
      <c r="H41" s="1" t="s">
        <v>161</v>
      </c>
      <c r="I41" s="1" t="s">
        <v>42</v>
      </c>
      <c r="J41" s="1" t="s">
        <v>43</v>
      </c>
      <c r="K41" s="1" t="s">
        <v>44</v>
      </c>
      <c r="L41" s="1" t="s">
        <v>59</v>
      </c>
      <c r="M41" s="1" t="s">
        <v>30</v>
      </c>
      <c r="N41" s="1" t="s">
        <v>409</v>
      </c>
      <c r="O41" s="20">
        <v>1</v>
      </c>
    </row>
    <row r="42" spans="1:15" ht="15.75" thickBot="1" x14ac:dyDescent="0.3">
      <c r="A42" s="18" t="s">
        <v>22</v>
      </c>
      <c r="B42" s="1" t="s">
        <v>407</v>
      </c>
      <c r="C42" s="1" t="s">
        <v>14</v>
      </c>
      <c r="D42" s="1" t="s">
        <v>15</v>
      </c>
      <c r="E42" s="1" t="s">
        <v>149</v>
      </c>
      <c r="F42" s="1" t="s">
        <v>162</v>
      </c>
      <c r="G42" s="1" t="s">
        <v>163</v>
      </c>
      <c r="H42" s="1" t="s">
        <v>145</v>
      </c>
      <c r="I42" s="1" t="s">
        <v>146</v>
      </c>
      <c r="J42" s="1" t="s">
        <v>147</v>
      </c>
      <c r="K42" s="1" t="s">
        <v>148</v>
      </c>
      <c r="L42" s="1" t="s">
        <v>59</v>
      </c>
      <c r="M42" s="1" t="s">
        <v>30</v>
      </c>
      <c r="N42" s="1" t="s">
        <v>409</v>
      </c>
      <c r="O42" s="19">
        <v>1</v>
      </c>
    </row>
    <row r="43" spans="1:15" ht="15.75" thickBot="1" x14ac:dyDescent="0.3">
      <c r="A43" s="18" t="s">
        <v>22</v>
      </c>
      <c r="B43" s="1" t="s">
        <v>407</v>
      </c>
      <c r="C43" s="1" t="s">
        <v>14</v>
      </c>
      <c r="D43" s="1" t="s">
        <v>15</v>
      </c>
      <c r="E43" s="1" t="s">
        <v>149</v>
      </c>
      <c r="F43" s="1" t="s">
        <v>164</v>
      </c>
      <c r="G43" s="1" t="s">
        <v>165</v>
      </c>
      <c r="H43" s="1" t="s">
        <v>166</v>
      </c>
      <c r="I43" s="1" t="s">
        <v>146</v>
      </c>
      <c r="J43" s="1" t="s">
        <v>147</v>
      </c>
      <c r="K43" s="1" t="s">
        <v>148</v>
      </c>
      <c r="L43" s="1" t="s">
        <v>59</v>
      </c>
      <c r="M43" s="1" t="s">
        <v>30</v>
      </c>
      <c r="N43" s="1" t="s">
        <v>409</v>
      </c>
      <c r="O43" s="20">
        <v>1</v>
      </c>
    </row>
    <row r="44" spans="1:15" ht="15.75" thickBot="1" x14ac:dyDescent="0.3">
      <c r="A44" s="18" t="s">
        <v>22</v>
      </c>
      <c r="B44" s="1" t="s">
        <v>407</v>
      </c>
      <c r="C44" s="1" t="s">
        <v>14</v>
      </c>
      <c r="D44" s="1" t="s">
        <v>15</v>
      </c>
      <c r="E44" s="1" t="s">
        <v>149</v>
      </c>
      <c r="F44" s="1" t="s">
        <v>167</v>
      </c>
      <c r="G44" s="1" t="s">
        <v>168</v>
      </c>
      <c r="H44" s="1" t="s">
        <v>84</v>
      </c>
      <c r="I44" s="1" t="s">
        <v>42</v>
      </c>
      <c r="J44" s="1" t="s">
        <v>43</v>
      </c>
      <c r="K44" s="1" t="s">
        <v>44</v>
      </c>
      <c r="L44" s="1" t="s">
        <v>59</v>
      </c>
      <c r="M44" s="1" t="s">
        <v>30</v>
      </c>
      <c r="N44" s="1" t="s">
        <v>409</v>
      </c>
      <c r="O44" s="19">
        <v>1</v>
      </c>
    </row>
    <row r="45" spans="1:15" ht="15.75" thickBot="1" x14ac:dyDescent="0.3">
      <c r="A45" s="18" t="s">
        <v>22</v>
      </c>
      <c r="B45" s="1" t="s">
        <v>407</v>
      </c>
      <c r="C45" s="1" t="s">
        <v>14</v>
      </c>
      <c r="D45" s="1" t="s">
        <v>15</v>
      </c>
      <c r="E45" s="1" t="s">
        <v>16</v>
      </c>
      <c r="F45" s="1" t="s">
        <v>169</v>
      </c>
      <c r="G45" s="1" t="s">
        <v>170</v>
      </c>
      <c r="H45" s="1" t="s">
        <v>114</v>
      </c>
      <c r="I45" s="1" t="s">
        <v>42</v>
      </c>
      <c r="J45" s="1" t="s">
        <v>140</v>
      </c>
      <c r="K45" s="1" t="s">
        <v>141</v>
      </c>
      <c r="L45" s="1" t="s">
        <v>59</v>
      </c>
      <c r="M45" s="1" t="s">
        <v>30</v>
      </c>
      <c r="N45" s="1" t="s">
        <v>409</v>
      </c>
      <c r="O45" s="20">
        <v>1</v>
      </c>
    </row>
    <row r="46" spans="1:15" ht="15.75" thickBot="1" x14ac:dyDescent="0.3">
      <c r="A46" s="18" t="s">
        <v>22</v>
      </c>
      <c r="B46" s="1" t="s">
        <v>407</v>
      </c>
      <c r="C46" s="1" t="s">
        <v>14</v>
      </c>
      <c r="D46" s="1" t="s">
        <v>15</v>
      </c>
      <c r="E46" s="1" t="s">
        <v>16</v>
      </c>
      <c r="F46" s="1" t="s">
        <v>171</v>
      </c>
      <c r="G46" s="1" t="s">
        <v>172</v>
      </c>
      <c r="H46" s="1" t="s">
        <v>114</v>
      </c>
      <c r="I46" s="1" t="s">
        <v>42</v>
      </c>
      <c r="J46" s="1" t="s">
        <v>140</v>
      </c>
      <c r="K46" s="1" t="s">
        <v>141</v>
      </c>
      <c r="L46" s="1" t="s">
        <v>59</v>
      </c>
      <c r="M46" s="1" t="s">
        <v>30</v>
      </c>
      <c r="N46" s="1" t="s">
        <v>409</v>
      </c>
      <c r="O46" s="19">
        <v>1</v>
      </c>
    </row>
    <row r="47" spans="1:15" ht="15.75" thickBot="1" x14ac:dyDescent="0.3">
      <c r="A47" s="18" t="s">
        <v>22</v>
      </c>
      <c r="B47" s="1" t="s">
        <v>407</v>
      </c>
      <c r="C47" s="1" t="s">
        <v>14</v>
      </c>
      <c r="D47" s="1" t="s">
        <v>15</v>
      </c>
      <c r="E47" s="1" t="s">
        <v>16</v>
      </c>
      <c r="F47" s="1" t="s">
        <v>173</v>
      </c>
      <c r="G47" s="1" t="s">
        <v>174</v>
      </c>
      <c r="H47" s="1" t="s">
        <v>114</v>
      </c>
      <c r="I47" s="1" t="s">
        <v>146</v>
      </c>
      <c r="J47" s="1" t="s">
        <v>147</v>
      </c>
      <c r="K47" s="1" t="s">
        <v>148</v>
      </c>
      <c r="L47" s="1" t="s">
        <v>59</v>
      </c>
      <c r="M47" s="1" t="s">
        <v>30</v>
      </c>
      <c r="N47" s="1" t="s">
        <v>409</v>
      </c>
      <c r="O47" s="20">
        <v>1</v>
      </c>
    </row>
    <row r="48" spans="1:15" ht="15.75" thickBot="1" x14ac:dyDescent="0.3">
      <c r="A48" s="18" t="s">
        <v>22</v>
      </c>
      <c r="B48" s="1" t="s">
        <v>407</v>
      </c>
      <c r="C48" s="1" t="s">
        <v>14</v>
      </c>
      <c r="D48" s="1" t="s">
        <v>15</v>
      </c>
      <c r="E48" s="1" t="s">
        <v>16</v>
      </c>
      <c r="F48" s="1" t="s">
        <v>175</v>
      </c>
      <c r="G48" s="1" t="s">
        <v>176</v>
      </c>
      <c r="H48" s="1" t="s">
        <v>114</v>
      </c>
      <c r="I48" s="1" t="s">
        <v>42</v>
      </c>
      <c r="J48" s="1" t="s">
        <v>43</v>
      </c>
      <c r="K48" s="1" t="s">
        <v>44</v>
      </c>
      <c r="L48" s="1" t="s">
        <v>45</v>
      </c>
      <c r="M48" s="1" t="s">
        <v>25</v>
      </c>
      <c r="N48" s="1" t="s">
        <v>408</v>
      </c>
      <c r="O48" s="19">
        <v>1</v>
      </c>
    </row>
    <row r="49" spans="1:15" ht="15.75" thickBot="1" x14ac:dyDescent="0.3">
      <c r="A49" s="18" t="s">
        <v>22</v>
      </c>
      <c r="B49" s="1" t="s">
        <v>407</v>
      </c>
      <c r="C49" s="1" t="s">
        <v>14</v>
      </c>
      <c r="D49" s="1" t="s">
        <v>135</v>
      </c>
      <c r="E49" s="1" t="s">
        <v>177</v>
      </c>
      <c r="F49" s="1" t="s">
        <v>178</v>
      </c>
      <c r="G49" s="1" t="s">
        <v>179</v>
      </c>
      <c r="H49" s="1" t="s">
        <v>161</v>
      </c>
      <c r="I49" s="1" t="s">
        <v>42</v>
      </c>
      <c r="J49" s="1" t="s">
        <v>180</v>
      </c>
      <c r="K49" s="1" t="s">
        <v>181</v>
      </c>
      <c r="L49" s="1" t="s">
        <v>50</v>
      </c>
      <c r="M49" s="1" t="s">
        <v>30</v>
      </c>
      <c r="N49" s="1" t="s">
        <v>409</v>
      </c>
      <c r="O49" s="20">
        <v>1</v>
      </c>
    </row>
    <row r="50" spans="1:15" ht="15.75" thickBot="1" x14ac:dyDescent="0.3">
      <c r="A50" s="18" t="s">
        <v>22</v>
      </c>
      <c r="B50" s="1" t="s">
        <v>407</v>
      </c>
      <c r="C50" s="1" t="s">
        <v>14</v>
      </c>
      <c r="D50" s="1" t="s">
        <v>135</v>
      </c>
      <c r="E50" s="1" t="s">
        <v>177</v>
      </c>
      <c r="F50" s="1" t="s">
        <v>182</v>
      </c>
      <c r="G50" s="1" t="s">
        <v>183</v>
      </c>
      <c r="H50" s="1" t="s">
        <v>161</v>
      </c>
      <c r="I50" s="1" t="s">
        <v>42</v>
      </c>
      <c r="J50" s="1" t="s">
        <v>180</v>
      </c>
      <c r="K50" s="1" t="s">
        <v>181</v>
      </c>
      <c r="L50" s="1" t="s">
        <v>50</v>
      </c>
      <c r="M50" s="1" t="s">
        <v>30</v>
      </c>
      <c r="N50" s="1" t="s">
        <v>409</v>
      </c>
      <c r="O50" s="19">
        <v>1</v>
      </c>
    </row>
    <row r="51" spans="1:15" ht="15.75" thickBot="1" x14ac:dyDescent="0.3">
      <c r="A51" s="18" t="s">
        <v>22</v>
      </c>
      <c r="B51" s="1" t="s">
        <v>407</v>
      </c>
      <c r="C51" s="1" t="s">
        <v>14</v>
      </c>
      <c r="D51" s="1" t="s">
        <v>135</v>
      </c>
      <c r="E51" s="1" t="s">
        <v>177</v>
      </c>
      <c r="F51" s="1" t="s">
        <v>184</v>
      </c>
      <c r="G51" s="1" t="s">
        <v>185</v>
      </c>
      <c r="H51" s="1" t="s">
        <v>161</v>
      </c>
      <c r="I51" s="1" t="s">
        <v>42</v>
      </c>
      <c r="J51" s="1" t="s">
        <v>180</v>
      </c>
      <c r="K51" s="1" t="s">
        <v>181</v>
      </c>
      <c r="L51" s="1" t="s">
        <v>50</v>
      </c>
      <c r="M51" s="1" t="s">
        <v>30</v>
      </c>
      <c r="N51" s="1" t="s">
        <v>409</v>
      </c>
      <c r="O51" s="20">
        <v>1</v>
      </c>
    </row>
    <row r="52" spans="1:15" ht="15.75" thickBot="1" x14ac:dyDescent="0.3">
      <c r="A52" s="18" t="s">
        <v>22</v>
      </c>
      <c r="B52" s="1" t="s">
        <v>407</v>
      </c>
      <c r="C52" s="1" t="s">
        <v>14</v>
      </c>
      <c r="D52" s="1" t="s">
        <v>135</v>
      </c>
      <c r="E52" s="1" t="s">
        <v>177</v>
      </c>
      <c r="F52" s="1" t="s">
        <v>186</v>
      </c>
      <c r="G52" s="1" t="s">
        <v>187</v>
      </c>
      <c r="H52" s="1" t="s">
        <v>161</v>
      </c>
      <c r="I52" s="1" t="s">
        <v>42</v>
      </c>
      <c r="J52" s="1" t="s">
        <v>180</v>
      </c>
      <c r="K52" s="1" t="s">
        <v>181</v>
      </c>
      <c r="L52" s="1" t="s">
        <v>50</v>
      </c>
      <c r="M52" s="1" t="s">
        <v>30</v>
      </c>
      <c r="N52" s="1" t="s">
        <v>409</v>
      </c>
      <c r="O52" s="19">
        <v>1</v>
      </c>
    </row>
    <row r="53" spans="1:15" ht="15.75" thickBot="1" x14ac:dyDescent="0.3">
      <c r="A53" s="18" t="s">
        <v>188</v>
      </c>
      <c r="B53" s="1" t="s">
        <v>413</v>
      </c>
      <c r="C53" s="1" t="s">
        <v>14</v>
      </c>
      <c r="D53" s="1" t="s">
        <v>74</v>
      </c>
      <c r="E53" s="1" t="s">
        <v>23</v>
      </c>
      <c r="F53" s="1" t="s">
        <v>189</v>
      </c>
      <c r="G53" s="1" t="s">
        <v>190</v>
      </c>
      <c r="H53" s="1" t="s">
        <v>191</v>
      </c>
      <c r="I53" s="1" t="s">
        <v>78</v>
      </c>
      <c r="J53" s="1" t="s">
        <v>79</v>
      </c>
      <c r="K53" s="1" t="s">
        <v>80</v>
      </c>
      <c r="L53" s="1" t="s">
        <v>59</v>
      </c>
      <c r="M53" s="1" t="s">
        <v>192</v>
      </c>
      <c r="N53" s="1" t="s">
        <v>700</v>
      </c>
      <c r="O53" s="20">
        <v>1</v>
      </c>
    </row>
    <row r="54" spans="1:15" ht="15.75" thickBot="1" x14ac:dyDescent="0.3">
      <c r="A54" s="18" t="s">
        <v>188</v>
      </c>
      <c r="B54" s="1" t="s">
        <v>413</v>
      </c>
      <c r="C54" s="1" t="s">
        <v>14</v>
      </c>
      <c r="D54" s="1" t="s">
        <v>74</v>
      </c>
      <c r="E54" s="1" t="s">
        <v>23</v>
      </c>
      <c r="F54" s="1" t="s">
        <v>193</v>
      </c>
      <c r="G54" s="1" t="s">
        <v>194</v>
      </c>
      <c r="H54" s="1" t="s">
        <v>139</v>
      </c>
      <c r="I54" s="1" t="s">
        <v>78</v>
      </c>
      <c r="J54" s="1" t="s">
        <v>79</v>
      </c>
      <c r="K54" s="1" t="s">
        <v>80</v>
      </c>
      <c r="L54" s="1" t="s">
        <v>59</v>
      </c>
      <c r="M54" s="1" t="s">
        <v>192</v>
      </c>
      <c r="N54" s="1" t="s">
        <v>700</v>
      </c>
      <c r="O54" s="19">
        <v>1</v>
      </c>
    </row>
    <row r="55" spans="1:15" ht="15.75" thickBot="1" x14ac:dyDescent="0.3">
      <c r="A55" s="18" t="s">
        <v>188</v>
      </c>
      <c r="B55" s="1" t="s">
        <v>413</v>
      </c>
      <c r="C55" s="1" t="s">
        <v>14</v>
      </c>
      <c r="D55" s="1" t="s">
        <v>74</v>
      </c>
      <c r="E55" s="1" t="s">
        <v>23</v>
      </c>
      <c r="F55" s="1" t="s">
        <v>195</v>
      </c>
      <c r="G55" s="1" t="s">
        <v>196</v>
      </c>
      <c r="H55" s="1" t="s">
        <v>191</v>
      </c>
      <c r="I55" s="1" t="s">
        <v>78</v>
      </c>
      <c r="J55" s="1" t="s">
        <v>79</v>
      </c>
      <c r="K55" s="1" t="s">
        <v>80</v>
      </c>
      <c r="L55" s="1" t="s">
        <v>59</v>
      </c>
      <c r="M55" s="1" t="s">
        <v>192</v>
      </c>
      <c r="N55" s="1" t="s">
        <v>700</v>
      </c>
      <c r="O55" s="20">
        <v>1</v>
      </c>
    </row>
    <row r="56" spans="1:15" x14ac:dyDescent="0.25">
      <c r="A56" s="25" t="s">
        <v>31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6"/>
      <c r="O56" s="27">
        <v>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8B4B-6EAA-4EFF-A77C-6041D752F45F}">
  <dimension ref="A1:V98"/>
  <sheetViews>
    <sheetView topLeftCell="H74" workbookViewId="0">
      <selection activeCell="M102" sqref="M102"/>
    </sheetView>
  </sheetViews>
  <sheetFormatPr baseColWidth="10" defaultRowHeight="15" x14ac:dyDescent="0.25"/>
  <cols>
    <col min="1" max="1" width="36.7109375" customWidth="1"/>
    <col min="2" max="2" width="22.140625" customWidth="1"/>
    <col min="3" max="3" width="26.140625" customWidth="1"/>
    <col min="4" max="4" width="23.5703125" customWidth="1"/>
    <col min="5" max="5" width="34.7109375" customWidth="1"/>
    <col min="6" max="6" width="13.5703125" customWidth="1"/>
    <col min="7" max="7" width="17.7109375" customWidth="1"/>
    <col min="8" max="10" width="18.42578125" customWidth="1"/>
    <col min="11" max="11" width="20.42578125" customWidth="1"/>
    <col min="12" max="12" width="36.140625" customWidth="1"/>
    <col min="13" max="13" width="28.5703125" customWidth="1"/>
    <col min="14" max="15" width="15.140625" customWidth="1"/>
    <col min="16" max="16" width="18.42578125" customWidth="1"/>
    <col min="17" max="17" width="12.140625" customWidth="1"/>
    <col min="18" max="18" width="14.7109375" customWidth="1"/>
    <col min="19" max="19" width="16.85546875" customWidth="1"/>
    <col min="20" max="20" width="11.85546875" customWidth="1"/>
    <col min="21" max="21" width="13.5703125" customWidth="1"/>
  </cols>
  <sheetData>
    <row r="1" spans="1:22" ht="23.25" thickBot="1" x14ac:dyDescent="0.3">
      <c r="A1" s="18" t="s">
        <v>0</v>
      </c>
      <c r="B1" s="1" t="s">
        <v>1</v>
      </c>
      <c r="C1" s="1" t="s">
        <v>2</v>
      </c>
      <c r="D1" s="1" t="s">
        <v>3</v>
      </c>
      <c r="E1" s="17" t="s">
        <v>11</v>
      </c>
      <c r="F1" s="18" t="s">
        <v>690</v>
      </c>
      <c r="G1" s="17" t="s">
        <v>34</v>
      </c>
      <c r="H1" s="18" t="s">
        <v>691</v>
      </c>
      <c r="I1" s="16" t="s">
        <v>415</v>
      </c>
      <c r="J1" s="16" t="s">
        <v>416</v>
      </c>
      <c r="K1" s="17" t="s">
        <v>10</v>
      </c>
      <c r="L1" s="18" t="s">
        <v>692</v>
      </c>
      <c r="M1" s="1" t="s">
        <v>7</v>
      </c>
      <c r="N1" s="1" t="s">
        <v>33</v>
      </c>
      <c r="O1" s="1" t="s">
        <v>693</v>
      </c>
      <c r="P1" s="1" t="s">
        <v>200</v>
      </c>
      <c r="Q1" s="1" t="s">
        <v>201</v>
      </c>
      <c r="R1" s="1" t="s">
        <v>202</v>
      </c>
      <c r="S1" s="2" t="s">
        <v>197</v>
      </c>
      <c r="T1" s="2" t="s">
        <v>198</v>
      </c>
      <c r="U1" s="2" t="s">
        <v>199</v>
      </c>
      <c r="V1" s="43" t="s">
        <v>417</v>
      </c>
    </row>
    <row r="2" spans="1:22" ht="15.75" thickBot="1" x14ac:dyDescent="0.3">
      <c r="A2" s="18" t="s">
        <v>203</v>
      </c>
      <c r="B2" s="1" t="s">
        <v>14</v>
      </c>
      <c r="C2" s="1" t="s">
        <v>15</v>
      </c>
      <c r="D2" s="1" t="s">
        <v>149</v>
      </c>
      <c r="E2" s="1" t="s">
        <v>30</v>
      </c>
      <c r="F2" s="1" t="s">
        <v>409</v>
      </c>
      <c r="G2" s="1" t="s">
        <v>44</v>
      </c>
      <c r="H2" s="1" t="s">
        <v>43</v>
      </c>
      <c r="I2" s="41" t="str">
        <f>VLOOKUP(Tbl_PctTrabajoPlanificado[[#This Row],[Orden mantenimiento]],Data!$E$2:$H$63,2,FALSE)</f>
        <v>C82</v>
      </c>
      <c r="J2" s="41" t="str" cm="1">
        <f t="array" ref="J2">_xlfn.IFS(I2="C81","Pl.Termoelec.Chuq.",I2="C82","Pl.Dist.Energ.Elec",I2="C89","Pl.Mant.Ind.Electr",I2="CO0","Concentradora A0",I2="CO1","Concentradora A1",I2="CO2","Concentradora A2",I2="CB1","SAE Centralizado",I2="C71","Pl.Maestranza.Cent",I2="C72","Pl.Calderería.Cent",I2="C74","CONTRATOS METALMEC",I2="C40","Planif. Refinería",I2="SAPCI","SAPCI",TRUE,"Código no encontrado")</f>
        <v>Pl.Dist.Energ.Elec</v>
      </c>
      <c r="K2" s="1" t="s">
        <v>204</v>
      </c>
      <c r="L2" s="1" t="s">
        <v>205</v>
      </c>
      <c r="M2" s="1" t="s">
        <v>206</v>
      </c>
      <c r="N2" s="1" t="s">
        <v>42</v>
      </c>
      <c r="O2" s="41">
        <f>Tbl_PctTrabajoPlanificado[[#This Row],[Fecha inicio real]]-Tbl_PctTrabajoPlanificado[[#This Row],[Fecha Libera Orden]]</f>
        <v>67</v>
      </c>
      <c r="P2" s="3">
        <v>46093</v>
      </c>
      <c r="Q2" s="3">
        <v>46160</v>
      </c>
      <c r="R2" s="1" t="s">
        <v>207</v>
      </c>
      <c r="S2" s="6">
        <v>100</v>
      </c>
      <c r="T2" s="7">
        <v>8</v>
      </c>
      <c r="U2" s="7">
        <v>8</v>
      </c>
      <c r="V2" t="s">
        <v>694</v>
      </c>
    </row>
    <row r="3" spans="1:22" ht="15.75" thickBot="1" x14ac:dyDescent="0.3">
      <c r="A3" s="18" t="s">
        <v>203</v>
      </c>
      <c r="B3" s="1" t="s">
        <v>14</v>
      </c>
      <c r="C3" s="1" t="s">
        <v>15</v>
      </c>
      <c r="D3" s="1" t="s">
        <v>149</v>
      </c>
      <c r="E3" s="1" t="s">
        <v>30</v>
      </c>
      <c r="F3" s="1" t="s">
        <v>409</v>
      </c>
      <c r="G3" s="1" t="s">
        <v>44</v>
      </c>
      <c r="H3" s="1" t="s">
        <v>43</v>
      </c>
      <c r="I3" s="41" t="str">
        <f>VLOOKUP(Tbl_PctTrabajoPlanificado[[#This Row],[Orden mantenimiento]],Data!$E$2:$H$63,2,FALSE)</f>
        <v>C82</v>
      </c>
      <c r="J3" s="41" t="str" cm="1">
        <f t="array" ref="J3">_xlfn.IFS(I3="C81","Pl.Termoelec.Chuq.",I3="C82","Pl.Dist.Energ.Elec",I3="C89","Pl.Mant.Ind.Electr",I3="CO0","Concentradora A0",I3="CO1","Concentradora A1",I3="CO2","Concentradora A2",I3="CB1","SAE Centralizado",I3="C71","Pl.Maestranza.Cent",I3="C72","Pl.Calderería.Cent",I3="C74","CONTRATOS METALMEC",I3="C40","Planif. Refinería",I3="SAPCI","SAPCI",TRUE,"Código no encontrado")</f>
        <v>Pl.Dist.Energ.Elec</v>
      </c>
      <c r="K3" s="1" t="s">
        <v>208</v>
      </c>
      <c r="L3" s="1" t="s">
        <v>209</v>
      </c>
      <c r="M3" s="1" t="s">
        <v>210</v>
      </c>
      <c r="N3" s="1" t="s">
        <v>42</v>
      </c>
      <c r="O3" s="41">
        <f>Tbl_PctTrabajoPlanificado[[#This Row],[Fecha inicio real]]-Tbl_PctTrabajoPlanificado[[#This Row],[Fecha Libera Orden]]</f>
        <v>13</v>
      </c>
      <c r="P3" s="3">
        <v>46149</v>
      </c>
      <c r="Q3" s="3">
        <v>46162</v>
      </c>
      <c r="R3" s="1" t="s">
        <v>207</v>
      </c>
      <c r="S3" s="8">
        <v>100</v>
      </c>
      <c r="T3" s="9">
        <v>32</v>
      </c>
      <c r="U3" s="9">
        <v>32</v>
      </c>
      <c r="V3" t="s">
        <v>694</v>
      </c>
    </row>
    <row r="4" spans="1:22" ht="15.75" thickBot="1" x14ac:dyDescent="0.3">
      <c r="A4" s="18" t="s">
        <v>203</v>
      </c>
      <c r="B4" s="1" t="s">
        <v>14</v>
      </c>
      <c r="C4" s="1" t="s">
        <v>15</v>
      </c>
      <c r="D4" s="1" t="s">
        <v>16</v>
      </c>
      <c r="E4" s="1" t="s">
        <v>30</v>
      </c>
      <c r="F4" s="1" t="s">
        <v>409</v>
      </c>
      <c r="G4" s="1" t="s">
        <v>141</v>
      </c>
      <c r="H4" s="1" t="s">
        <v>140</v>
      </c>
      <c r="I4" s="41" t="str">
        <f>VLOOKUP(Tbl_PctTrabajoPlanificado[[#This Row],[Orden mantenimiento]],Data!$E$2:$H$63,2,FALSE)</f>
        <v>C82</v>
      </c>
      <c r="J4" s="41" t="str" cm="1">
        <f t="array" ref="J4">_xlfn.IFS(I4="C81","Pl.Termoelec.Chuq.",I4="C82","Pl.Dist.Energ.Elec",I4="C89","Pl.Mant.Ind.Electr",I4="CO0","Concentradora A0",I4="CO1","Concentradora A1",I4="CO2","Concentradora A2",I4="CB1","SAE Centralizado",I4="C71","Pl.Maestranza.Cent",I4="C72","Pl.Calderería.Cent",I4="C74","CONTRATOS METALMEC",I4="C40","Planif. Refinería",I4="SAPCI","SAPCI",TRUE,"Código no encontrado")</f>
        <v>Pl.Dist.Energ.Elec</v>
      </c>
      <c r="K4" s="1" t="s">
        <v>211</v>
      </c>
      <c r="L4" s="1" t="s">
        <v>212</v>
      </c>
      <c r="M4" s="1" t="s">
        <v>206</v>
      </c>
      <c r="N4" s="1" t="s">
        <v>42</v>
      </c>
      <c r="O4" s="41">
        <f>Tbl_PctTrabajoPlanificado[[#This Row],[Fecha inicio real]]-Tbl_PctTrabajoPlanificado[[#This Row],[Fecha Libera Orden]]</f>
        <v>8</v>
      </c>
      <c r="P4" s="3">
        <v>46155</v>
      </c>
      <c r="Q4" s="3">
        <v>46163</v>
      </c>
      <c r="R4" s="1" t="s">
        <v>213</v>
      </c>
      <c r="S4" s="6">
        <v>100</v>
      </c>
      <c r="T4" s="7">
        <v>1</v>
      </c>
      <c r="U4" s="7">
        <v>1</v>
      </c>
      <c r="V4" t="s">
        <v>694</v>
      </c>
    </row>
    <row r="5" spans="1:22" ht="15.75" thickBot="1" x14ac:dyDescent="0.3">
      <c r="A5" s="18" t="s">
        <v>203</v>
      </c>
      <c r="B5" s="1" t="s">
        <v>14</v>
      </c>
      <c r="C5" s="1" t="s">
        <v>15</v>
      </c>
      <c r="D5" s="1" t="s">
        <v>16</v>
      </c>
      <c r="E5" s="1" t="s">
        <v>30</v>
      </c>
      <c r="F5" s="1" t="s">
        <v>409</v>
      </c>
      <c r="G5" s="1" t="s">
        <v>141</v>
      </c>
      <c r="H5" s="1" t="s">
        <v>140</v>
      </c>
      <c r="I5" s="41" t="str">
        <f>VLOOKUP(Tbl_PctTrabajoPlanificado[[#This Row],[Orden mantenimiento]],Data!$E$2:$H$63,2,FALSE)</f>
        <v>C82</v>
      </c>
      <c r="J5" s="41" t="str" cm="1">
        <f t="array" ref="J5">_xlfn.IFS(I5="C81","Pl.Termoelec.Chuq.",I5="C82","Pl.Dist.Energ.Elec",I5="C89","Pl.Mant.Ind.Electr",I5="CO0","Concentradora A0",I5="CO1","Concentradora A1",I5="CO2","Concentradora A2",I5="CB1","SAE Centralizado",I5="C71","Pl.Maestranza.Cent",I5="C72","Pl.Calderería.Cent",I5="C74","CONTRATOS METALMEC",I5="C40","Planif. Refinería",I5="SAPCI","SAPCI",TRUE,"Código no encontrado")</f>
        <v>Pl.Dist.Energ.Elec</v>
      </c>
      <c r="K5" s="1" t="s">
        <v>211</v>
      </c>
      <c r="L5" s="1" t="s">
        <v>212</v>
      </c>
      <c r="M5" s="1" t="s">
        <v>214</v>
      </c>
      <c r="N5" s="1" t="s">
        <v>42</v>
      </c>
      <c r="O5" s="41">
        <f>Tbl_PctTrabajoPlanificado[[#This Row],[Fecha inicio real]]-Tbl_PctTrabajoPlanificado[[#This Row],[Fecha Libera Orden]]</f>
        <v>8</v>
      </c>
      <c r="P5" s="3">
        <v>46155</v>
      </c>
      <c r="Q5" s="3">
        <v>46163</v>
      </c>
      <c r="R5" s="1" t="s">
        <v>213</v>
      </c>
      <c r="S5" s="8">
        <v>100</v>
      </c>
      <c r="T5" s="9">
        <v>24</v>
      </c>
      <c r="U5" s="9">
        <v>24</v>
      </c>
      <c r="V5" t="s">
        <v>694</v>
      </c>
    </row>
    <row r="6" spans="1:22" ht="15.75" thickBot="1" x14ac:dyDescent="0.3">
      <c r="A6" s="18" t="s">
        <v>203</v>
      </c>
      <c r="B6" s="1" t="s">
        <v>14</v>
      </c>
      <c r="C6" s="1" t="s">
        <v>15</v>
      </c>
      <c r="D6" s="1" t="s">
        <v>16</v>
      </c>
      <c r="E6" s="1" t="s">
        <v>30</v>
      </c>
      <c r="F6" s="1" t="s">
        <v>409</v>
      </c>
      <c r="G6" s="1" t="s">
        <v>141</v>
      </c>
      <c r="H6" s="1" t="s">
        <v>140</v>
      </c>
      <c r="I6" s="41" t="str">
        <f>VLOOKUP(Tbl_PctTrabajoPlanificado[[#This Row],[Orden mantenimiento]],Data!$E$2:$H$63,2,FALSE)</f>
        <v>C82</v>
      </c>
      <c r="J6" s="41" t="str" cm="1">
        <f t="array" ref="J6">_xlfn.IFS(I6="C81","Pl.Termoelec.Chuq.",I6="C82","Pl.Dist.Energ.Elec",I6="C89","Pl.Mant.Ind.Electr",I6="CO0","Concentradora A0",I6="CO1","Concentradora A1",I6="CO2","Concentradora A2",I6="CB1","SAE Centralizado",I6="C71","Pl.Maestranza.Cent",I6="C72","Pl.Calderería.Cent",I6="C74","CONTRATOS METALMEC",I6="C40","Planif. Refinería",I6="SAPCI","SAPCI",TRUE,"Código no encontrado")</f>
        <v>Pl.Dist.Energ.Elec</v>
      </c>
      <c r="K6" s="1" t="s">
        <v>215</v>
      </c>
      <c r="L6" s="1" t="s">
        <v>216</v>
      </c>
      <c r="M6" s="1" t="s">
        <v>214</v>
      </c>
      <c r="N6" s="1" t="s">
        <v>42</v>
      </c>
      <c r="O6" s="41">
        <f>Tbl_PctTrabajoPlanificado[[#This Row],[Fecha inicio real]]-Tbl_PctTrabajoPlanificado[[#This Row],[Fecha Libera Orden]]</f>
        <v>11</v>
      </c>
      <c r="P6" s="3">
        <v>46155</v>
      </c>
      <c r="Q6" s="3">
        <v>46166</v>
      </c>
      <c r="R6" s="1" t="s">
        <v>217</v>
      </c>
      <c r="S6" s="6">
        <v>100</v>
      </c>
      <c r="T6" s="7">
        <v>6</v>
      </c>
      <c r="U6" s="7">
        <v>6</v>
      </c>
      <c r="V6" t="s">
        <v>694</v>
      </c>
    </row>
    <row r="7" spans="1:22" ht="15.75" thickBot="1" x14ac:dyDescent="0.3">
      <c r="A7" s="18" t="s">
        <v>203</v>
      </c>
      <c r="B7" s="1" t="s">
        <v>14</v>
      </c>
      <c r="C7" s="1" t="s">
        <v>15</v>
      </c>
      <c r="D7" s="1" t="s">
        <v>16</v>
      </c>
      <c r="E7" s="1" t="s">
        <v>30</v>
      </c>
      <c r="F7" s="1" t="s">
        <v>409</v>
      </c>
      <c r="G7" s="1" t="s">
        <v>141</v>
      </c>
      <c r="H7" s="1" t="s">
        <v>140</v>
      </c>
      <c r="I7" s="41" t="str">
        <f>VLOOKUP(Tbl_PctTrabajoPlanificado[[#This Row],[Orden mantenimiento]],Data!$E$2:$H$63,2,FALSE)</f>
        <v>C82</v>
      </c>
      <c r="J7" s="41" t="str" cm="1">
        <f t="array" ref="J7">_xlfn.IFS(I7="C81","Pl.Termoelec.Chuq.",I7="C82","Pl.Dist.Energ.Elec",I7="C89","Pl.Mant.Ind.Electr",I7="CO0","Concentradora A0",I7="CO1","Concentradora A1",I7="CO2","Concentradora A2",I7="CB1","SAE Centralizado",I7="C71","Pl.Maestranza.Cent",I7="C72","Pl.Calderería.Cent",I7="C74","CONTRATOS METALMEC",I7="C40","Planif. Refinería",I7="SAPCI","SAPCI",TRUE,"Código no encontrado")</f>
        <v>Pl.Dist.Energ.Elec</v>
      </c>
      <c r="K7" s="1" t="s">
        <v>218</v>
      </c>
      <c r="L7" s="1" t="s">
        <v>219</v>
      </c>
      <c r="M7" s="1" t="s">
        <v>214</v>
      </c>
      <c r="N7" s="1" t="s">
        <v>42</v>
      </c>
      <c r="O7" s="41">
        <f>Tbl_PctTrabajoPlanificado[[#This Row],[Fecha inicio real]]-Tbl_PctTrabajoPlanificado[[#This Row],[Fecha Libera Orden]]</f>
        <v>11</v>
      </c>
      <c r="P7" s="3">
        <v>46155</v>
      </c>
      <c r="Q7" s="3">
        <v>46166</v>
      </c>
      <c r="R7" s="1" t="s">
        <v>217</v>
      </c>
      <c r="S7" s="8">
        <v>100</v>
      </c>
      <c r="T7" s="9">
        <v>6</v>
      </c>
      <c r="U7" s="9">
        <v>6</v>
      </c>
      <c r="V7" t="s">
        <v>694</v>
      </c>
    </row>
    <row r="8" spans="1:22" ht="15.75" thickBot="1" x14ac:dyDescent="0.3">
      <c r="A8" s="18" t="s">
        <v>203</v>
      </c>
      <c r="B8" s="1" t="s">
        <v>14</v>
      </c>
      <c r="C8" s="1" t="s">
        <v>15</v>
      </c>
      <c r="D8" s="1" t="s">
        <v>16</v>
      </c>
      <c r="E8" s="1" t="s">
        <v>30</v>
      </c>
      <c r="F8" s="1" t="s">
        <v>409</v>
      </c>
      <c r="G8" s="1" t="s">
        <v>141</v>
      </c>
      <c r="H8" s="1" t="s">
        <v>140</v>
      </c>
      <c r="I8" s="41" t="str">
        <f>VLOOKUP(Tbl_PctTrabajoPlanificado[[#This Row],[Orden mantenimiento]],Data!$E$2:$H$63,2,FALSE)</f>
        <v>C82</v>
      </c>
      <c r="J8" s="41" t="str" cm="1">
        <f t="array" ref="J8">_xlfn.IFS(I8="C81","Pl.Termoelec.Chuq.",I8="C82","Pl.Dist.Energ.Elec",I8="C89","Pl.Mant.Ind.Electr",I8="CO0","Concentradora A0",I8="CO1","Concentradora A1",I8="CO2","Concentradora A2",I8="CB1","SAE Centralizado",I8="C71","Pl.Maestranza.Cent",I8="C72","Pl.Calderería.Cent",I8="C74","CONTRATOS METALMEC",I8="C40","Planif. Refinería",I8="SAPCI","SAPCI",TRUE,"Código no encontrado")</f>
        <v>Pl.Dist.Energ.Elec</v>
      </c>
      <c r="K8" s="1" t="s">
        <v>220</v>
      </c>
      <c r="L8" s="1" t="s">
        <v>221</v>
      </c>
      <c r="M8" s="1" t="s">
        <v>214</v>
      </c>
      <c r="N8" s="1" t="s">
        <v>42</v>
      </c>
      <c r="O8" s="41">
        <f>Tbl_PctTrabajoPlanificado[[#This Row],[Fecha inicio real]]-Tbl_PctTrabajoPlanificado[[#This Row],[Fecha Libera Orden]]</f>
        <v>11</v>
      </c>
      <c r="P8" s="3">
        <v>46155</v>
      </c>
      <c r="Q8" s="3">
        <v>46166</v>
      </c>
      <c r="R8" s="1" t="s">
        <v>217</v>
      </c>
      <c r="S8" s="6">
        <v>100</v>
      </c>
      <c r="T8" s="7">
        <v>6</v>
      </c>
      <c r="U8" s="7">
        <v>6</v>
      </c>
      <c r="V8" t="s">
        <v>694</v>
      </c>
    </row>
    <row r="9" spans="1:22" ht="15.75" thickBot="1" x14ac:dyDescent="0.3">
      <c r="A9" s="18" t="s">
        <v>203</v>
      </c>
      <c r="B9" s="1" t="s">
        <v>14</v>
      </c>
      <c r="C9" s="1" t="s">
        <v>15</v>
      </c>
      <c r="D9" s="1" t="s">
        <v>16</v>
      </c>
      <c r="E9" s="1" t="s">
        <v>30</v>
      </c>
      <c r="F9" s="1" t="s">
        <v>409</v>
      </c>
      <c r="G9" s="1" t="s">
        <v>181</v>
      </c>
      <c r="H9" s="1" t="s">
        <v>180</v>
      </c>
      <c r="I9" s="41" t="str">
        <f>VLOOKUP(Tbl_PctTrabajoPlanificado[[#This Row],[Orden mantenimiento]],Data!$E$2:$H$63,2,FALSE)</f>
        <v>C82</v>
      </c>
      <c r="J9" s="41" t="str" cm="1">
        <f t="array" ref="J9">_xlfn.IFS(I9="C81","Pl.Termoelec.Chuq.",I9="C82","Pl.Dist.Energ.Elec",I9="C89","Pl.Mant.Ind.Electr",I9="CO0","Concentradora A0",I9="CO1","Concentradora A1",I9="CO2","Concentradora A2",I9="CB1","SAE Centralizado",I9="C71","Pl.Maestranza.Cent",I9="C72","Pl.Calderería.Cent",I9="C74","CONTRATOS METALMEC",I9="C40","Planif. Refinería",I9="SAPCI","SAPCI",TRUE,"Código no encontrado")</f>
        <v>Pl.Dist.Energ.Elec</v>
      </c>
      <c r="K9" s="1" t="s">
        <v>222</v>
      </c>
      <c r="L9" s="1" t="s">
        <v>223</v>
      </c>
      <c r="M9" s="1" t="s">
        <v>214</v>
      </c>
      <c r="N9" s="1" t="s">
        <v>42</v>
      </c>
      <c r="O9" s="41">
        <f>Tbl_PctTrabajoPlanificado[[#This Row],[Fecha inicio real]]-Tbl_PctTrabajoPlanificado[[#This Row],[Fecha Libera Orden]]</f>
        <v>11</v>
      </c>
      <c r="P9" s="3">
        <v>46155</v>
      </c>
      <c r="Q9" s="3">
        <v>46166</v>
      </c>
      <c r="R9" s="1" t="s">
        <v>224</v>
      </c>
      <c r="S9" s="8">
        <v>100</v>
      </c>
      <c r="T9" s="9">
        <v>4</v>
      </c>
      <c r="U9" s="9">
        <v>4</v>
      </c>
      <c r="V9" t="s">
        <v>694</v>
      </c>
    </row>
    <row r="10" spans="1:22" ht="15.75" thickBot="1" x14ac:dyDescent="0.3">
      <c r="A10" s="18" t="s">
        <v>203</v>
      </c>
      <c r="B10" s="1" t="s">
        <v>14</v>
      </c>
      <c r="C10" s="1" t="s">
        <v>15</v>
      </c>
      <c r="D10" s="1" t="s">
        <v>16</v>
      </c>
      <c r="E10" s="1" t="s">
        <v>30</v>
      </c>
      <c r="F10" s="1" t="s">
        <v>409</v>
      </c>
      <c r="G10" s="1" t="s">
        <v>181</v>
      </c>
      <c r="H10" s="1" t="s">
        <v>180</v>
      </c>
      <c r="I10" s="41" t="str">
        <f>VLOOKUP(Tbl_PctTrabajoPlanificado[[#This Row],[Orden mantenimiento]],Data!$E$2:$H$63,2,FALSE)</f>
        <v>C82</v>
      </c>
      <c r="J10" s="41" t="str" cm="1">
        <f t="array" ref="J10">_xlfn.IFS(I10="C81","Pl.Termoelec.Chuq.",I10="C82","Pl.Dist.Energ.Elec",I10="C89","Pl.Mant.Ind.Electr",I10="CO0","Concentradora A0",I10="CO1","Concentradora A1",I10="CO2","Concentradora A2",I10="CB1","SAE Centralizado",I10="C71","Pl.Maestranza.Cent",I10="C72","Pl.Calderería.Cent",I10="C74","CONTRATOS METALMEC",I10="C40","Planif. Refinería",I10="SAPCI","SAPCI",TRUE,"Código no encontrado")</f>
        <v>Pl.Dist.Energ.Elec</v>
      </c>
      <c r="K10" s="1" t="s">
        <v>225</v>
      </c>
      <c r="L10" s="1" t="s">
        <v>226</v>
      </c>
      <c r="M10" s="1" t="s">
        <v>214</v>
      </c>
      <c r="N10" s="1" t="s">
        <v>42</v>
      </c>
      <c r="O10" s="41">
        <f>Tbl_PctTrabajoPlanificado[[#This Row],[Fecha inicio real]]-Tbl_PctTrabajoPlanificado[[#This Row],[Fecha Libera Orden]]</f>
        <v>11</v>
      </c>
      <c r="P10" s="3">
        <v>46155</v>
      </c>
      <c r="Q10" s="3">
        <v>46166</v>
      </c>
      <c r="R10" s="1" t="s">
        <v>224</v>
      </c>
      <c r="S10" s="6">
        <v>100</v>
      </c>
      <c r="T10" s="7">
        <v>12</v>
      </c>
      <c r="U10" s="7">
        <v>12</v>
      </c>
      <c r="V10" t="s">
        <v>694</v>
      </c>
    </row>
    <row r="11" spans="1:22" ht="15.75" thickBot="1" x14ac:dyDescent="0.3">
      <c r="A11" s="18" t="s">
        <v>203</v>
      </c>
      <c r="B11" s="1" t="s">
        <v>14</v>
      </c>
      <c r="C11" s="1" t="s">
        <v>15</v>
      </c>
      <c r="D11" s="1" t="s">
        <v>16</v>
      </c>
      <c r="E11" s="1" t="s">
        <v>30</v>
      </c>
      <c r="F11" s="1" t="s">
        <v>409</v>
      </c>
      <c r="G11" s="1" t="s">
        <v>181</v>
      </c>
      <c r="H11" s="1" t="s">
        <v>180</v>
      </c>
      <c r="I11" s="41" t="str">
        <f>VLOOKUP(Tbl_PctTrabajoPlanificado[[#This Row],[Orden mantenimiento]],Data!$E$2:$H$63,2,FALSE)</f>
        <v>C82</v>
      </c>
      <c r="J11" s="41" t="str" cm="1">
        <f t="array" ref="J11">_xlfn.IFS(I11="C81","Pl.Termoelec.Chuq.",I11="C82","Pl.Dist.Energ.Elec",I11="C89","Pl.Mant.Ind.Electr",I11="CO0","Concentradora A0",I11="CO1","Concentradora A1",I11="CO2","Concentradora A2",I11="CB1","SAE Centralizado",I11="C71","Pl.Maestranza.Cent",I11="C72","Pl.Calderería.Cent",I11="C74","CONTRATOS METALMEC",I11="C40","Planif. Refinería",I11="SAPCI","SAPCI",TRUE,"Código no encontrado")</f>
        <v>Pl.Dist.Energ.Elec</v>
      </c>
      <c r="K11" s="1" t="s">
        <v>227</v>
      </c>
      <c r="L11" s="1" t="s">
        <v>228</v>
      </c>
      <c r="M11" s="1" t="s">
        <v>214</v>
      </c>
      <c r="N11" s="1" t="s">
        <v>42</v>
      </c>
      <c r="O11" s="41">
        <f>Tbl_PctTrabajoPlanificado[[#This Row],[Fecha inicio real]]-Tbl_PctTrabajoPlanificado[[#This Row],[Fecha Libera Orden]]</f>
        <v>11</v>
      </c>
      <c r="P11" s="3">
        <v>46155</v>
      </c>
      <c r="Q11" s="3">
        <v>46166</v>
      </c>
      <c r="R11" s="1" t="s">
        <v>229</v>
      </c>
      <c r="S11" s="8">
        <v>100</v>
      </c>
      <c r="T11" s="9">
        <v>12</v>
      </c>
      <c r="U11" s="9">
        <v>12</v>
      </c>
      <c r="V11" t="s">
        <v>694</v>
      </c>
    </row>
    <row r="12" spans="1:22" ht="15.75" thickBot="1" x14ac:dyDescent="0.3">
      <c r="A12" s="18" t="s">
        <v>203</v>
      </c>
      <c r="B12" s="1" t="s">
        <v>14</v>
      </c>
      <c r="C12" s="1" t="s">
        <v>15</v>
      </c>
      <c r="D12" s="1" t="s">
        <v>16</v>
      </c>
      <c r="E12" s="1" t="s">
        <v>30</v>
      </c>
      <c r="F12" s="1" t="s">
        <v>409</v>
      </c>
      <c r="G12" s="1" t="s">
        <v>44</v>
      </c>
      <c r="H12" s="1" t="s">
        <v>43</v>
      </c>
      <c r="I12" s="41" t="str">
        <f>VLOOKUP(Tbl_PctTrabajoPlanificado[[#This Row],[Orden mantenimiento]],Data!$E$2:$H$63,2,FALSE)</f>
        <v>C82</v>
      </c>
      <c r="J12" s="41" t="str" cm="1">
        <f t="array" ref="J12">_xlfn.IFS(I12="C81","Pl.Termoelec.Chuq.",I12="C82","Pl.Dist.Energ.Elec",I12="C89","Pl.Mant.Ind.Electr",I12="CO0","Concentradora A0",I12="CO1","Concentradora A1",I12="CO2","Concentradora A2",I12="CB1","SAE Centralizado",I12="C71","Pl.Maestranza.Cent",I12="C72","Pl.Calderería.Cent",I12="C74","CONTRATOS METALMEC",I12="C40","Planif. Refinería",I12="SAPCI","SAPCI",TRUE,"Código no encontrado")</f>
        <v>Pl.Dist.Energ.Elec</v>
      </c>
      <c r="K12" s="1" t="s">
        <v>230</v>
      </c>
      <c r="L12" s="1" t="s">
        <v>231</v>
      </c>
      <c r="M12" s="1" t="s">
        <v>214</v>
      </c>
      <c r="N12" s="1" t="s">
        <v>42</v>
      </c>
      <c r="O12" s="41">
        <f>Tbl_PctTrabajoPlanificado[[#This Row],[Fecha inicio real]]-Tbl_PctTrabajoPlanificado[[#This Row],[Fecha Libera Orden]]</f>
        <v>73</v>
      </c>
      <c r="P12" s="3">
        <v>46091</v>
      </c>
      <c r="Q12" s="3">
        <v>46164</v>
      </c>
      <c r="R12" s="1" t="s">
        <v>232</v>
      </c>
      <c r="S12" s="6">
        <v>100</v>
      </c>
      <c r="T12" s="7">
        <v>12</v>
      </c>
      <c r="U12" s="7">
        <v>12</v>
      </c>
      <c r="V12" t="s">
        <v>694</v>
      </c>
    </row>
    <row r="13" spans="1:22" ht="15.75" thickBot="1" x14ac:dyDescent="0.3">
      <c r="A13" s="18" t="s">
        <v>203</v>
      </c>
      <c r="B13" s="1" t="s">
        <v>14</v>
      </c>
      <c r="C13" s="1" t="s">
        <v>15</v>
      </c>
      <c r="D13" s="1" t="s">
        <v>16</v>
      </c>
      <c r="E13" s="1" t="s">
        <v>30</v>
      </c>
      <c r="F13" s="1" t="s">
        <v>409</v>
      </c>
      <c r="G13" s="1" t="s">
        <v>44</v>
      </c>
      <c r="H13" s="1" t="s">
        <v>43</v>
      </c>
      <c r="I13" s="41" t="str">
        <f>VLOOKUP(Tbl_PctTrabajoPlanificado[[#This Row],[Orden mantenimiento]],Data!$E$2:$H$63,2,FALSE)</f>
        <v>C82</v>
      </c>
      <c r="J13" s="41" t="str" cm="1">
        <f t="array" ref="J13">_xlfn.IFS(I13="C81","Pl.Termoelec.Chuq.",I13="C82","Pl.Dist.Energ.Elec",I13="C89","Pl.Mant.Ind.Electr",I13="CO0","Concentradora A0",I13="CO1","Concentradora A1",I13="CO2","Concentradora A2",I13="CB1","SAE Centralizado",I13="C71","Pl.Maestranza.Cent",I13="C72","Pl.Calderería.Cent",I13="C74","CONTRATOS METALMEC",I13="C40","Planif. Refinería",I13="SAPCI","SAPCI",TRUE,"Código no encontrado")</f>
        <v>Pl.Dist.Energ.Elec</v>
      </c>
      <c r="K13" s="1" t="s">
        <v>233</v>
      </c>
      <c r="L13" s="1" t="s">
        <v>234</v>
      </c>
      <c r="M13" s="1" t="s">
        <v>214</v>
      </c>
      <c r="N13" s="1" t="s">
        <v>42</v>
      </c>
      <c r="O13" s="41">
        <f>Tbl_PctTrabajoPlanificado[[#This Row],[Fecha inicio real]]-Tbl_PctTrabajoPlanificado[[#This Row],[Fecha Libera Orden]]</f>
        <v>10</v>
      </c>
      <c r="P13" s="3">
        <v>46155</v>
      </c>
      <c r="Q13" s="3">
        <v>46165</v>
      </c>
      <c r="R13" s="1" t="s">
        <v>235</v>
      </c>
      <c r="S13" s="8">
        <v>100</v>
      </c>
      <c r="T13" s="9">
        <v>44</v>
      </c>
      <c r="U13" s="9">
        <v>44</v>
      </c>
      <c r="V13" t="s">
        <v>694</v>
      </c>
    </row>
    <row r="14" spans="1:22" ht="15.75" thickBot="1" x14ac:dyDescent="0.3">
      <c r="A14" s="18" t="s">
        <v>203</v>
      </c>
      <c r="B14" s="1" t="s">
        <v>14</v>
      </c>
      <c r="C14" s="1" t="s">
        <v>15</v>
      </c>
      <c r="D14" s="1" t="s">
        <v>16</v>
      </c>
      <c r="E14" s="1" t="s">
        <v>30</v>
      </c>
      <c r="F14" s="1" t="s">
        <v>409</v>
      </c>
      <c r="G14" s="1" t="s">
        <v>44</v>
      </c>
      <c r="H14" s="1" t="s">
        <v>43</v>
      </c>
      <c r="I14" s="41" t="str">
        <f>VLOOKUP(Tbl_PctTrabajoPlanificado[[#This Row],[Orden mantenimiento]],Data!$E$2:$H$63,2,FALSE)</f>
        <v>C82</v>
      </c>
      <c r="J14" s="41" t="str" cm="1">
        <f t="array" ref="J14">_xlfn.IFS(I14="C81","Pl.Termoelec.Chuq.",I14="C82","Pl.Dist.Energ.Elec",I14="C89","Pl.Mant.Ind.Electr",I14="CO0","Concentradora A0",I14="CO1","Concentradora A1",I14="CO2","Concentradora A2",I14="CB1","SAE Centralizado",I14="C71","Pl.Maestranza.Cent",I14="C72","Pl.Calderería.Cent",I14="C74","CONTRATOS METALMEC",I14="C40","Planif. Refinería",I14="SAPCI","SAPCI",TRUE,"Código no encontrado")</f>
        <v>Pl.Dist.Energ.Elec</v>
      </c>
      <c r="K14" s="1" t="s">
        <v>236</v>
      </c>
      <c r="L14" s="1" t="s">
        <v>237</v>
      </c>
      <c r="M14" s="1" t="s">
        <v>214</v>
      </c>
      <c r="N14" s="1" t="s">
        <v>42</v>
      </c>
      <c r="O14" s="41">
        <f>Tbl_PctTrabajoPlanificado[[#This Row],[Fecha inicio real]]-Tbl_PctTrabajoPlanificado[[#This Row],[Fecha Libera Orden]]</f>
        <v>9</v>
      </c>
      <c r="P14" s="3">
        <v>46155</v>
      </c>
      <c r="Q14" s="3">
        <v>46164</v>
      </c>
      <c r="R14" s="1" t="s">
        <v>238</v>
      </c>
      <c r="S14" s="6">
        <v>100</v>
      </c>
      <c r="T14" s="7">
        <v>6</v>
      </c>
      <c r="U14" s="7">
        <v>6</v>
      </c>
      <c r="V14" t="s">
        <v>694</v>
      </c>
    </row>
    <row r="15" spans="1:22" ht="15.75" thickBot="1" x14ac:dyDescent="0.3">
      <c r="A15" s="18" t="s">
        <v>203</v>
      </c>
      <c r="B15" s="1" t="s">
        <v>14</v>
      </c>
      <c r="C15" s="1" t="s">
        <v>15</v>
      </c>
      <c r="D15" s="1" t="s">
        <v>16</v>
      </c>
      <c r="E15" s="1" t="s">
        <v>30</v>
      </c>
      <c r="F15" s="1" t="s">
        <v>409</v>
      </c>
      <c r="G15" s="1" t="s">
        <v>44</v>
      </c>
      <c r="H15" s="1" t="s">
        <v>43</v>
      </c>
      <c r="I15" s="41" t="str">
        <f>VLOOKUP(Tbl_PctTrabajoPlanificado[[#This Row],[Orden mantenimiento]],Data!$E$2:$H$63,2,FALSE)</f>
        <v>C82</v>
      </c>
      <c r="J15" s="41" t="str" cm="1">
        <f t="array" ref="J15">_xlfn.IFS(I15="C81","Pl.Termoelec.Chuq.",I15="C82","Pl.Dist.Energ.Elec",I15="C89","Pl.Mant.Ind.Electr",I15="CO0","Concentradora A0",I15="CO1","Concentradora A1",I15="CO2","Concentradora A2",I15="CB1","SAE Centralizado",I15="C71","Pl.Maestranza.Cent",I15="C72","Pl.Calderería.Cent",I15="C74","CONTRATOS METALMEC",I15="C40","Planif. Refinería",I15="SAPCI","SAPCI",TRUE,"Código no encontrado")</f>
        <v>Pl.Dist.Energ.Elec</v>
      </c>
      <c r="K15" s="1" t="s">
        <v>239</v>
      </c>
      <c r="L15" s="1" t="s">
        <v>240</v>
      </c>
      <c r="M15" s="1" t="s">
        <v>214</v>
      </c>
      <c r="N15" s="1" t="s">
        <v>42</v>
      </c>
      <c r="O15" s="41">
        <f>Tbl_PctTrabajoPlanificado[[#This Row],[Fecha inicio real]]-Tbl_PctTrabajoPlanificado[[#This Row],[Fecha Libera Orden]]</f>
        <v>10</v>
      </c>
      <c r="P15" s="3">
        <v>46155</v>
      </c>
      <c r="Q15" s="3">
        <v>46165</v>
      </c>
      <c r="R15" s="1" t="s">
        <v>238</v>
      </c>
      <c r="S15" s="8">
        <v>100</v>
      </c>
      <c r="T15" s="9">
        <v>6</v>
      </c>
      <c r="U15" s="9">
        <v>6</v>
      </c>
      <c r="V15" t="s">
        <v>694</v>
      </c>
    </row>
    <row r="16" spans="1:22" ht="15.75" thickBot="1" x14ac:dyDescent="0.3">
      <c r="A16" s="18" t="s">
        <v>203</v>
      </c>
      <c r="B16" s="1" t="s">
        <v>14</v>
      </c>
      <c r="C16" s="1" t="s">
        <v>37</v>
      </c>
      <c r="D16" s="1" t="s">
        <v>38</v>
      </c>
      <c r="E16" s="1" t="s">
        <v>46</v>
      </c>
      <c r="F16" s="1" t="s">
        <v>414</v>
      </c>
      <c r="G16" s="1" t="s">
        <v>141</v>
      </c>
      <c r="H16" s="1" t="s">
        <v>140</v>
      </c>
      <c r="I16" s="41" t="str">
        <f>VLOOKUP(Tbl_PctTrabajoPlanificado[[#This Row],[Orden mantenimiento]],Data!$E$2:$H$63,2,FALSE)</f>
        <v>C81</v>
      </c>
      <c r="J16" s="41" t="str" cm="1">
        <f t="array" ref="J16">_xlfn.IFS(I16="C81","Pl.Termoelec.Chuq.",I16="C82","Pl.Dist.Energ.Elec",I16="C89","Pl.Mant.Ind.Electr",I16="CO0","Concentradora A0",I16="CO1","Concentradora A1",I16="CO2","Concentradora A2",I16="CB1","SAE Centralizado",I16="C71","Pl.Maestranza.Cent",I16="C72","Pl.Calderería.Cent",I16="C74","CONTRATOS METALMEC",I16="C40","Planif. Refinería",I16="SAPCI","SAPCI",TRUE,"Código no encontrado")</f>
        <v>Pl.Termoelec.Chuq.</v>
      </c>
      <c r="K16" s="1" t="s">
        <v>241</v>
      </c>
      <c r="L16" s="1" t="s">
        <v>242</v>
      </c>
      <c r="M16" s="1" t="s">
        <v>214</v>
      </c>
      <c r="N16" s="1" t="s">
        <v>42</v>
      </c>
      <c r="O16" s="41">
        <f>Tbl_PctTrabajoPlanificado[[#This Row],[Fecha inicio real]]-Tbl_PctTrabajoPlanificado[[#This Row],[Fecha Libera Orden]]</f>
        <v>14</v>
      </c>
      <c r="P16" s="3">
        <v>46151</v>
      </c>
      <c r="Q16" s="3">
        <v>46165</v>
      </c>
      <c r="R16" s="1" t="s">
        <v>243</v>
      </c>
      <c r="S16" s="8">
        <v>100</v>
      </c>
      <c r="T16" s="9">
        <v>4</v>
      </c>
      <c r="U16" s="9">
        <v>4</v>
      </c>
      <c r="V16" t="s">
        <v>694</v>
      </c>
    </row>
    <row r="17" spans="1:22" ht="15.75" thickBot="1" x14ac:dyDescent="0.3">
      <c r="A17" s="18" t="s">
        <v>203</v>
      </c>
      <c r="B17" s="1" t="s">
        <v>14</v>
      </c>
      <c r="C17" s="1" t="s">
        <v>37</v>
      </c>
      <c r="D17" s="1" t="s">
        <v>38</v>
      </c>
      <c r="E17" s="1" t="s">
        <v>46</v>
      </c>
      <c r="F17" s="1" t="s">
        <v>414</v>
      </c>
      <c r="G17" s="1" t="s">
        <v>141</v>
      </c>
      <c r="H17" s="1" t="s">
        <v>140</v>
      </c>
      <c r="I17" s="41" t="str">
        <f>VLOOKUP(Tbl_PctTrabajoPlanificado[[#This Row],[Orden mantenimiento]],Data!$E$2:$H$63,2,FALSE)</f>
        <v>C81</v>
      </c>
      <c r="J17" s="41" t="str" cm="1">
        <f t="array" ref="J17">_xlfn.IFS(I17="C81","Pl.Termoelec.Chuq.",I17="C82","Pl.Dist.Energ.Elec",I17="C89","Pl.Mant.Ind.Electr",I17="CO0","Concentradora A0",I17="CO1","Concentradora A1",I17="CO2","Concentradora A2",I17="CB1","SAE Centralizado",I17="C71","Pl.Maestranza.Cent",I17="C72","Pl.Calderería.Cent",I17="C74","CONTRATOS METALMEC",I17="C40","Planif. Refinería",I17="SAPCI","SAPCI",TRUE,"Código no encontrado")</f>
        <v>Pl.Termoelec.Chuq.</v>
      </c>
      <c r="K17" s="1" t="s">
        <v>244</v>
      </c>
      <c r="L17" s="1" t="s">
        <v>245</v>
      </c>
      <c r="M17" s="1" t="s">
        <v>206</v>
      </c>
      <c r="N17" s="1" t="s">
        <v>42</v>
      </c>
      <c r="O17" s="41">
        <f>Tbl_PctTrabajoPlanificado[[#This Row],[Fecha inicio real]]-Tbl_PctTrabajoPlanificado[[#This Row],[Fecha Libera Orden]]</f>
        <v>11</v>
      </c>
      <c r="P17" s="3">
        <v>46151</v>
      </c>
      <c r="Q17" s="3">
        <v>46162</v>
      </c>
      <c r="R17" s="1" t="s">
        <v>246</v>
      </c>
      <c r="S17" s="6">
        <v>100</v>
      </c>
      <c r="T17" s="7">
        <v>2</v>
      </c>
      <c r="U17" s="7">
        <v>2</v>
      </c>
      <c r="V17" t="s">
        <v>694</v>
      </c>
    </row>
    <row r="18" spans="1:22" ht="15.75" thickBot="1" x14ac:dyDescent="0.3">
      <c r="A18" s="18" t="s">
        <v>203</v>
      </c>
      <c r="B18" s="1" t="s">
        <v>14</v>
      </c>
      <c r="C18" s="1" t="s">
        <v>37</v>
      </c>
      <c r="D18" s="1" t="s">
        <v>38</v>
      </c>
      <c r="E18" s="1" t="s">
        <v>46</v>
      </c>
      <c r="F18" s="1" t="s">
        <v>414</v>
      </c>
      <c r="G18" s="1" t="s">
        <v>141</v>
      </c>
      <c r="H18" s="1" t="s">
        <v>140</v>
      </c>
      <c r="I18" s="41" t="str">
        <f>VLOOKUP(Tbl_PctTrabajoPlanificado[[#This Row],[Orden mantenimiento]],Data!$E$2:$H$63,2,FALSE)</f>
        <v>C81</v>
      </c>
      <c r="J18" s="41" t="str" cm="1">
        <f t="array" ref="J18">_xlfn.IFS(I18="C81","Pl.Termoelec.Chuq.",I18="C82","Pl.Dist.Energ.Elec",I18="C89","Pl.Mant.Ind.Electr",I18="CO0","Concentradora A0",I18="CO1","Concentradora A1",I18="CO2","Concentradora A2",I18="CB1","SAE Centralizado",I18="C71","Pl.Maestranza.Cent",I18="C72","Pl.Calderería.Cent",I18="C74","CONTRATOS METALMEC",I18="C40","Planif. Refinería",I18="SAPCI","SAPCI",TRUE,"Código no encontrado")</f>
        <v>Pl.Termoelec.Chuq.</v>
      </c>
      <c r="K18" s="1" t="s">
        <v>247</v>
      </c>
      <c r="L18" s="1" t="s">
        <v>248</v>
      </c>
      <c r="M18" s="1" t="s">
        <v>206</v>
      </c>
      <c r="N18" s="1" t="s">
        <v>42</v>
      </c>
      <c r="O18" s="41">
        <f>Tbl_PctTrabajoPlanificado[[#This Row],[Fecha inicio real]]-Tbl_PctTrabajoPlanificado[[#This Row],[Fecha Libera Orden]]</f>
        <v>11</v>
      </c>
      <c r="P18" s="3">
        <v>46151</v>
      </c>
      <c r="Q18" s="3">
        <v>46162</v>
      </c>
      <c r="R18" s="1" t="s">
        <v>249</v>
      </c>
      <c r="S18" s="8">
        <v>100</v>
      </c>
      <c r="T18" s="9">
        <v>6.9</v>
      </c>
      <c r="U18" s="9">
        <v>6.9</v>
      </c>
      <c r="V18" t="s">
        <v>694</v>
      </c>
    </row>
    <row r="19" spans="1:22" ht="15.75" thickBot="1" x14ac:dyDescent="0.3">
      <c r="A19" s="18" t="s">
        <v>203</v>
      </c>
      <c r="B19" s="1" t="s">
        <v>14</v>
      </c>
      <c r="C19" s="1" t="s">
        <v>37</v>
      </c>
      <c r="D19" s="1" t="s">
        <v>38</v>
      </c>
      <c r="E19" s="1" t="s">
        <v>46</v>
      </c>
      <c r="F19" s="1" t="s">
        <v>414</v>
      </c>
      <c r="G19" s="1" t="s">
        <v>141</v>
      </c>
      <c r="H19" s="1" t="s">
        <v>140</v>
      </c>
      <c r="I19" s="41" t="str">
        <f>VLOOKUP(Tbl_PctTrabajoPlanificado[[#This Row],[Orden mantenimiento]],Data!$E$2:$H$63,2,FALSE)</f>
        <v>C81</v>
      </c>
      <c r="J19" s="41" t="str" cm="1">
        <f t="array" ref="J19">_xlfn.IFS(I19="C81","Pl.Termoelec.Chuq.",I19="C82","Pl.Dist.Energ.Elec",I19="C89","Pl.Mant.Ind.Electr",I19="CO0","Concentradora A0",I19="CO1","Concentradora A1",I19="CO2","Concentradora A2",I19="CB1","SAE Centralizado",I19="C71","Pl.Maestranza.Cent",I19="C72","Pl.Calderería.Cent",I19="C74","CONTRATOS METALMEC",I19="C40","Planif. Refinería",I19="SAPCI","SAPCI",TRUE,"Código no encontrado")</f>
        <v>Pl.Termoelec.Chuq.</v>
      </c>
      <c r="K19" s="1" t="s">
        <v>250</v>
      </c>
      <c r="L19" s="1" t="s">
        <v>251</v>
      </c>
      <c r="M19" s="1" t="s">
        <v>206</v>
      </c>
      <c r="N19" s="1" t="s">
        <v>42</v>
      </c>
      <c r="O19" s="41">
        <f>Tbl_PctTrabajoPlanificado[[#This Row],[Fecha inicio real]]-Tbl_PctTrabajoPlanificado[[#This Row],[Fecha Libera Orden]]</f>
        <v>10</v>
      </c>
      <c r="P19" s="3">
        <v>46151</v>
      </c>
      <c r="Q19" s="3">
        <v>46161</v>
      </c>
      <c r="R19" s="1" t="s">
        <v>252</v>
      </c>
      <c r="S19" s="6">
        <v>100</v>
      </c>
      <c r="T19" s="7">
        <v>5.8</v>
      </c>
      <c r="U19" s="7">
        <v>5.8</v>
      </c>
      <c r="V19" t="s">
        <v>694</v>
      </c>
    </row>
    <row r="20" spans="1:22" ht="15.75" thickBot="1" x14ac:dyDescent="0.3">
      <c r="A20" s="18" t="s">
        <v>203</v>
      </c>
      <c r="B20" s="1" t="s">
        <v>14</v>
      </c>
      <c r="C20" s="1" t="s">
        <v>37</v>
      </c>
      <c r="D20" s="1" t="s">
        <v>38</v>
      </c>
      <c r="E20" s="1" t="s">
        <v>46</v>
      </c>
      <c r="F20" s="1" t="s">
        <v>414</v>
      </c>
      <c r="G20" s="1" t="s">
        <v>141</v>
      </c>
      <c r="H20" s="1" t="s">
        <v>140</v>
      </c>
      <c r="I20" s="41" t="str">
        <f>VLOOKUP(Tbl_PctTrabajoPlanificado[[#This Row],[Orden mantenimiento]],Data!$E$2:$H$63,2,FALSE)</f>
        <v>C81</v>
      </c>
      <c r="J20" s="41" t="str" cm="1">
        <f t="array" ref="J20">_xlfn.IFS(I20="C81","Pl.Termoelec.Chuq.",I20="C82","Pl.Dist.Energ.Elec",I20="C89","Pl.Mant.Ind.Electr",I20="CO0","Concentradora A0",I20="CO1","Concentradora A1",I20="CO2","Concentradora A2",I20="CB1","SAE Centralizado",I20="C71","Pl.Maestranza.Cent",I20="C72","Pl.Calderería.Cent",I20="C74","CONTRATOS METALMEC",I20="C40","Planif. Refinería",I20="SAPCI","SAPCI",TRUE,"Código no encontrado")</f>
        <v>Pl.Termoelec.Chuq.</v>
      </c>
      <c r="K20" s="1" t="s">
        <v>250</v>
      </c>
      <c r="L20" s="1" t="s">
        <v>251</v>
      </c>
      <c r="M20" s="1" t="s">
        <v>214</v>
      </c>
      <c r="N20" s="1" t="s">
        <v>42</v>
      </c>
      <c r="O20" s="41">
        <f>Tbl_PctTrabajoPlanificado[[#This Row],[Fecha inicio real]]-Tbl_PctTrabajoPlanificado[[#This Row],[Fecha Libera Orden]]</f>
        <v>10</v>
      </c>
      <c r="P20" s="3">
        <v>46151</v>
      </c>
      <c r="Q20" s="3">
        <v>46161</v>
      </c>
      <c r="R20" s="1" t="s">
        <v>252</v>
      </c>
      <c r="S20" s="8">
        <v>100</v>
      </c>
      <c r="T20" s="9">
        <v>1</v>
      </c>
      <c r="U20" s="9">
        <v>1</v>
      </c>
      <c r="V20" t="s">
        <v>694</v>
      </c>
    </row>
    <row r="21" spans="1:22" ht="15.75" thickBot="1" x14ac:dyDescent="0.3">
      <c r="A21" s="18" t="s">
        <v>203</v>
      </c>
      <c r="B21" s="1" t="s">
        <v>14</v>
      </c>
      <c r="C21" s="1" t="s">
        <v>37</v>
      </c>
      <c r="D21" s="1" t="s">
        <v>38</v>
      </c>
      <c r="E21" s="1" t="s">
        <v>46</v>
      </c>
      <c r="F21" s="1" t="s">
        <v>414</v>
      </c>
      <c r="G21" s="1" t="s">
        <v>141</v>
      </c>
      <c r="H21" s="1" t="s">
        <v>140</v>
      </c>
      <c r="I21" s="41" t="str">
        <f>VLOOKUP(Tbl_PctTrabajoPlanificado[[#This Row],[Orden mantenimiento]],Data!$E$2:$H$63,2,FALSE)</f>
        <v>C81</v>
      </c>
      <c r="J21" s="41" t="str" cm="1">
        <f t="array" ref="J21">_xlfn.IFS(I21="C81","Pl.Termoelec.Chuq.",I21="C82","Pl.Dist.Energ.Elec",I21="C89","Pl.Mant.Ind.Electr",I21="CO0","Concentradora A0",I21="CO1","Concentradora A1",I21="CO2","Concentradora A2",I21="CB1","SAE Centralizado",I21="C71","Pl.Maestranza.Cent",I21="C72","Pl.Calderería.Cent",I21="C74","CONTRATOS METALMEC",I21="C40","Planif. Refinería",I21="SAPCI","SAPCI",TRUE,"Código no encontrado")</f>
        <v>Pl.Termoelec.Chuq.</v>
      </c>
      <c r="K21" s="1" t="s">
        <v>253</v>
      </c>
      <c r="L21" s="1" t="s">
        <v>254</v>
      </c>
      <c r="M21" s="1" t="s">
        <v>206</v>
      </c>
      <c r="N21" s="1" t="s">
        <v>42</v>
      </c>
      <c r="O21" s="41">
        <f>Tbl_PctTrabajoPlanificado[[#This Row],[Fecha inicio real]]-Tbl_PctTrabajoPlanificado[[#This Row],[Fecha Libera Orden]]</f>
        <v>9</v>
      </c>
      <c r="P21" s="3">
        <v>46151</v>
      </c>
      <c r="Q21" s="3">
        <v>46160</v>
      </c>
      <c r="R21" s="1" t="s">
        <v>255</v>
      </c>
      <c r="S21" s="6">
        <v>100</v>
      </c>
      <c r="T21" s="7">
        <v>8</v>
      </c>
      <c r="U21" s="7">
        <v>8</v>
      </c>
      <c r="V21" t="s">
        <v>694</v>
      </c>
    </row>
    <row r="22" spans="1:22" ht="15.75" thickBot="1" x14ac:dyDescent="0.3">
      <c r="A22" s="18" t="s">
        <v>203</v>
      </c>
      <c r="B22" s="1" t="s">
        <v>14</v>
      </c>
      <c r="C22" s="1" t="s">
        <v>37</v>
      </c>
      <c r="D22" s="1" t="s">
        <v>38</v>
      </c>
      <c r="E22" s="1" t="s">
        <v>46</v>
      </c>
      <c r="F22" s="1" t="s">
        <v>414</v>
      </c>
      <c r="G22" s="1" t="s">
        <v>141</v>
      </c>
      <c r="H22" s="1" t="s">
        <v>140</v>
      </c>
      <c r="I22" s="41" t="str">
        <f>VLOOKUP(Tbl_PctTrabajoPlanificado[[#This Row],[Orden mantenimiento]],Data!$E$2:$H$63,2,FALSE)</f>
        <v>C81</v>
      </c>
      <c r="J22" s="41" t="str" cm="1">
        <f t="array" ref="J22">_xlfn.IFS(I22="C81","Pl.Termoelec.Chuq.",I22="C82","Pl.Dist.Energ.Elec",I22="C89","Pl.Mant.Ind.Electr",I22="CO0","Concentradora A0",I22="CO1","Concentradora A1",I22="CO2","Concentradora A2",I22="CB1","SAE Centralizado",I22="C71","Pl.Maestranza.Cent",I22="C72","Pl.Calderería.Cent",I22="C74","CONTRATOS METALMEC",I22="C40","Planif. Refinería",I22="SAPCI","SAPCI",TRUE,"Código no encontrado")</f>
        <v>Pl.Termoelec.Chuq.</v>
      </c>
      <c r="K22" s="1" t="s">
        <v>253</v>
      </c>
      <c r="L22" s="1" t="s">
        <v>254</v>
      </c>
      <c r="M22" s="1" t="s">
        <v>214</v>
      </c>
      <c r="N22" s="1" t="s">
        <v>42</v>
      </c>
      <c r="O22" s="41">
        <f>Tbl_PctTrabajoPlanificado[[#This Row],[Fecha inicio real]]-Tbl_PctTrabajoPlanificado[[#This Row],[Fecha Libera Orden]]</f>
        <v>9</v>
      </c>
      <c r="P22" s="3">
        <v>46151</v>
      </c>
      <c r="Q22" s="3">
        <v>46160</v>
      </c>
      <c r="R22" s="1" t="s">
        <v>255</v>
      </c>
      <c r="S22" s="8">
        <v>100</v>
      </c>
      <c r="T22" s="9">
        <v>1</v>
      </c>
      <c r="U22" s="9">
        <v>1</v>
      </c>
      <c r="V22" t="s">
        <v>694</v>
      </c>
    </row>
    <row r="23" spans="1:22" ht="15.75" thickBot="1" x14ac:dyDescent="0.3">
      <c r="A23" s="18" t="s">
        <v>203</v>
      </c>
      <c r="B23" s="1" t="s">
        <v>14</v>
      </c>
      <c r="C23" s="1" t="s">
        <v>37</v>
      </c>
      <c r="D23" s="1" t="s">
        <v>38</v>
      </c>
      <c r="E23" s="1" t="s">
        <v>46</v>
      </c>
      <c r="F23" s="1" t="s">
        <v>414</v>
      </c>
      <c r="G23" s="1" t="s">
        <v>141</v>
      </c>
      <c r="H23" s="1" t="s">
        <v>140</v>
      </c>
      <c r="I23" s="41" t="str">
        <f>VLOOKUP(Tbl_PctTrabajoPlanificado[[#This Row],[Orden mantenimiento]],Data!$E$2:$H$63,2,FALSE)</f>
        <v>C81</v>
      </c>
      <c r="J23" s="41" t="str" cm="1">
        <f t="array" ref="J23">_xlfn.IFS(I23="C81","Pl.Termoelec.Chuq.",I23="C82","Pl.Dist.Energ.Elec",I23="C89","Pl.Mant.Ind.Electr",I23="CO0","Concentradora A0",I23="CO1","Concentradora A1",I23="CO2","Concentradora A2",I23="CB1","SAE Centralizado",I23="C71","Pl.Maestranza.Cent",I23="C72","Pl.Calderería.Cent",I23="C74","CONTRATOS METALMEC",I23="C40","Planif. Refinería",I23="SAPCI","SAPCI",TRUE,"Código no encontrado")</f>
        <v>Pl.Termoelec.Chuq.</v>
      </c>
      <c r="K23" s="1" t="s">
        <v>256</v>
      </c>
      <c r="L23" s="1" t="s">
        <v>257</v>
      </c>
      <c r="M23" s="1" t="s">
        <v>206</v>
      </c>
      <c r="N23" s="1" t="s">
        <v>42</v>
      </c>
      <c r="O23" s="41">
        <f>Tbl_PctTrabajoPlanificado[[#This Row],[Fecha inicio real]]-Tbl_PctTrabajoPlanificado[[#This Row],[Fecha Libera Orden]]</f>
        <v>10</v>
      </c>
      <c r="P23" s="3">
        <v>46151</v>
      </c>
      <c r="Q23" s="3">
        <v>46161</v>
      </c>
      <c r="R23" s="1" t="s">
        <v>255</v>
      </c>
      <c r="S23" s="6">
        <v>100</v>
      </c>
      <c r="T23" s="7">
        <v>8</v>
      </c>
      <c r="U23" s="7">
        <v>8</v>
      </c>
      <c r="V23" t="s">
        <v>694</v>
      </c>
    </row>
    <row r="24" spans="1:22" ht="15.75" thickBot="1" x14ac:dyDescent="0.3">
      <c r="A24" s="18" t="s">
        <v>203</v>
      </c>
      <c r="B24" s="1" t="s">
        <v>14</v>
      </c>
      <c r="C24" s="1" t="s">
        <v>37</v>
      </c>
      <c r="D24" s="1" t="s">
        <v>38</v>
      </c>
      <c r="E24" s="1" t="s">
        <v>46</v>
      </c>
      <c r="F24" s="1" t="s">
        <v>414</v>
      </c>
      <c r="G24" s="1" t="s">
        <v>141</v>
      </c>
      <c r="H24" s="1" t="s">
        <v>140</v>
      </c>
      <c r="I24" s="41" t="str">
        <f>VLOOKUP(Tbl_PctTrabajoPlanificado[[#This Row],[Orden mantenimiento]],Data!$E$2:$H$63,2,FALSE)</f>
        <v>C81</v>
      </c>
      <c r="J24" s="41" t="str" cm="1">
        <f t="array" ref="J24">_xlfn.IFS(I24="C81","Pl.Termoelec.Chuq.",I24="C82","Pl.Dist.Energ.Elec",I24="C89","Pl.Mant.Ind.Electr",I24="CO0","Concentradora A0",I24="CO1","Concentradora A1",I24="CO2","Concentradora A2",I24="CB1","SAE Centralizado",I24="C71","Pl.Maestranza.Cent",I24="C72","Pl.Calderería.Cent",I24="C74","CONTRATOS METALMEC",I24="C40","Planif. Refinería",I24="SAPCI","SAPCI",TRUE,"Código no encontrado")</f>
        <v>Pl.Termoelec.Chuq.</v>
      </c>
      <c r="K24" s="1" t="s">
        <v>256</v>
      </c>
      <c r="L24" s="1" t="s">
        <v>257</v>
      </c>
      <c r="M24" s="1" t="s">
        <v>214</v>
      </c>
      <c r="N24" s="1" t="s">
        <v>42</v>
      </c>
      <c r="O24" s="41">
        <f>Tbl_PctTrabajoPlanificado[[#This Row],[Fecha inicio real]]-Tbl_PctTrabajoPlanificado[[#This Row],[Fecha Libera Orden]]</f>
        <v>10</v>
      </c>
      <c r="P24" s="3">
        <v>46151</v>
      </c>
      <c r="Q24" s="3">
        <v>46161</v>
      </c>
      <c r="R24" s="1" t="s">
        <v>255</v>
      </c>
      <c r="S24" s="8">
        <v>100</v>
      </c>
      <c r="T24" s="9">
        <v>1</v>
      </c>
      <c r="U24" s="9">
        <v>1</v>
      </c>
      <c r="V24" t="s">
        <v>694</v>
      </c>
    </row>
    <row r="25" spans="1:22" ht="15.75" thickBot="1" x14ac:dyDescent="0.3">
      <c r="A25" s="18" t="s">
        <v>203</v>
      </c>
      <c r="B25" s="1" t="s">
        <v>14</v>
      </c>
      <c r="C25" s="1" t="s">
        <v>37</v>
      </c>
      <c r="D25" s="1" t="s">
        <v>38</v>
      </c>
      <c r="E25" s="1" t="s">
        <v>46</v>
      </c>
      <c r="F25" s="1" t="s">
        <v>414</v>
      </c>
      <c r="G25" s="1" t="s">
        <v>141</v>
      </c>
      <c r="H25" s="1" t="s">
        <v>140</v>
      </c>
      <c r="I25" s="41" t="str">
        <f>VLOOKUP(Tbl_PctTrabajoPlanificado[[#This Row],[Orden mantenimiento]],Data!$E$2:$H$63,2,FALSE)</f>
        <v>C81</v>
      </c>
      <c r="J25" s="41" t="str" cm="1">
        <f t="array" ref="J25">_xlfn.IFS(I25="C81","Pl.Termoelec.Chuq.",I25="C82","Pl.Dist.Energ.Elec",I25="C89","Pl.Mant.Ind.Electr",I25="CO0","Concentradora A0",I25="CO1","Concentradora A1",I25="CO2","Concentradora A2",I25="CB1","SAE Centralizado",I25="C71","Pl.Maestranza.Cent",I25="C72","Pl.Calderería.Cent",I25="C74","CONTRATOS METALMEC",I25="C40","Planif. Refinería",I25="SAPCI","SAPCI",TRUE,"Código no encontrado")</f>
        <v>Pl.Termoelec.Chuq.</v>
      </c>
      <c r="K25" s="1" t="s">
        <v>258</v>
      </c>
      <c r="L25" s="1" t="s">
        <v>259</v>
      </c>
      <c r="M25" s="1" t="s">
        <v>206</v>
      </c>
      <c r="N25" s="1" t="s">
        <v>42</v>
      </c>
      <c r="O25" s="41">
        <f>Tbl_PctTrabajoPlanificado[[#This Row],[Fecha inicio real]]-Tbl_PctTrabajoPlanificado[[#This Row],[Fecha Libera Orden]]</f>
        <v>11</v>
      </c>
      <c r="P25" s="3">
        <v>46151</v>
      </c>
      <c r="Q25" s="3">
        <v>46162</v>
      </c>
      <c r="R25" s="1" t="s">
        <v>255</v>
      </c>
      <c r="S25" s="6">
        <v>100</v>
      </c>
      <c r="T25" s="7">
        <v>15</v>
      </c>
      <c r="U25" s="7">
        <v>15</v>
      </c>
      <c r="V25" t="s">
        <v>694</v>
      </c>
    </row>
    <row r="26" spans="1:22" ht="15.75" thickBot="1" x14ac:dyDescent="0.3">
      <c r="A26" s="18" t="s">
        <v>203</v>
      </c>
      <c r="B26" s="1" t="s">
        <v>14</v>
      </c>
      <c r="C26" s="1" t="s">
        <v>37</v>
      </c>
      <c r="D26" s="1" t="s">
        <v>38</v>
      </c>
      <c r="E26" s="1" t="s">
        <v>46</v>
      </c>
      <c r="F26" s="1" t="s">
        <v>414</v>
      </c>
      <c r="G26" s="1" t="s">
        <v>141</v>
      </c>
      <c r="H26" s="1" t="s">
        <v>140</v>
      </c>
      <c r="I26" s="41" t="str">
        <f>VLOOKUP(Tbl_PctTrabajoPlanificado[[#This Row],[Orden mantenimiento]],Data!$E$2:$H$63,2,FALSE)</f>
        <v>C81</v>
      </c>
      <c r="J26" s="41" t="str" cm="1">
        <f t="array" ref="J26">_xlfn.IFS(I26="C81","Pl.Termoelec.Chuq.",I26="C82","Pl.Dist.Energ.Elec",I26="C89","Pl.Mant.Ind.Electr",I26="CO0","Concentradora A0",I26="CO1","Concentradora A1",I26="CO2","Concentradora A2",I26="CB1","SAE Centralizado",I26="C71","Pl.Maestranza.Cent",I26="C72","Pl.Calderería.Cent",I26="C74","CONTRATOS METALMEC",I26="C40","Planif. Refinería",I26="SAPCI","SAPCI",TRUE,"Código no encontrado")</f>
        <v>Pl.Termoelec.Chuq.</v>
      </c>
      <c r="K26" s="1" t="s">
        <v>258</v>
      </c>
      <c r="L26" s="1" t="s">
        <v>259</v>
      </c>
      <c r="M26" s="1" t="s">
        <v>214</v>
      </c>
      <c r="N26" s="1" t="s">
        <v>42</v>
      </c>
      <c r="O26" s="41">
        <f>Tbl_PctTrabajoPlanificado[[#This Row],[Fecha inicio real]]-Tbl_PctTrabajoPlanificado[[#This Row],[Fecha Libera Orden]]</f>
        <v>10</v>
      </c>
      <c r="P26" s="3">
        <v>46151</v>
      </c>
      <c r="Q26" s="3">
        <v>46161</v>
      </c>
      <c r="R26" s="1" t="s">
        <v>255</v>
      </c>
      <c r="S26" s="8">
        <v>100</v>
      </c>
      <c r="T26" s="9">
        <v>1</v>
      </c>
      <c r="U26" s="9">
        <v>1</v>
      </c>
      <c r="V26" t="s">
        <v>694</v>
      </c>
    </row>
    <row r="27" spans="1:22" ht="15.75" thickBot="1" x14ac:dyDescent="0.3">
      <c r="A27" s="18" t="s">
        <v>203</v>
      </c>
      <c r="B27" s="1" t="s">
        <v>14</v>
      </c>
      <c r="C27" s="1" t="s">
        <v>37</v>
      </c>
      <c r="D27" s="1" t="s">
        <v>38</v>
      </c>
      <c r="E27" s="1" t="s">
        <v>46</v>
      </c>
      <c r="F27" s="1" t="s">
        <v>414</v>
      </c>
      <c r="G27" s="1" t="s">
        <v>141</v>
      </c>
      <c r="H27" s="1" t="s">
        <v>140</v>
      </c>
      <c r="I27" s="41" t="str">
        <f>VLOOKUP(Tbl_PctTrabajoPlanificado[[#This Row],[Orden mantenimiento]],Data!$E$2:$H$63,2,FALSE)</f>
        <v>C81</v>
      </c>
      <c r="J27" s="41" t="str" cm="1">
        <f t="array" ref="J27">_xlfn.IFS(I27="C81","Pl.Termoelec.Chuq.",I27="C82","Pl.Dist.Energ.Elec",I27="C89","Pl.Mant.Ind.Electr",I27="CO0","Concentradora A0",I27="CO1","Concentradora A1",I27="CO2","Concentradora A2",I27="CB1","SAE Centralizado",I27="C71","Pl.Maestranza.Cent",I27="C72","Pl.Calderería.Cent",I27="C74","CONTRATOS METALMEC",I27="C40","Planif. Refinería",I27="SAPCI","SAPCI",TRUE,"Código no encontrado")</f>
        <v>Pl.Termoelec.Chuq.</v>
      </c>
      <c r="K27" s="1" t="s">
        <v>260</v>
      </c>
      <c r="L27" s="1" t="s">
        <v>261</v>
      </c>
      <c r="M27" s="1" t="s">
        <v>206</v>
      </c>
      <c r="N27" s="1" t="s">
        <v>42</v>
      </c>
      <c r="O27" s="41">
        <f>Tbl_PctTrabajoPlanificado[[#This Row],[Fecha inicio real]]-Tbl_PctTrabajoPlanificado[[#This Row],[Fecha Libera Orden]]</f>
        <v>13</v>
      </c>
      <c r="P27" s="3">
        <v>46151</v>
      </c>
      <c r="Q27" s="3">
        <v>46164</v>
      </c>
      <c r="R27" s="1" t="s">
        <v>262</v>
      </c>
      <c r="S27" s="6">
        <v>100</v>
      </c>
      <c r="T27" s="7">
        <v>8</v>
      </c>
      <c r="U27" s="7">
        <v>8</v>
      </c>
      <c r="V27" t="s">
        <v>694</v>
      </c>
    </row>
    <row r="28" spans="1:22" ht="15.75" thickBot="1" x14ac:dyDescent="0.3">
      <c r="A28" s="18" t="s">
        <v>203</v>
      </c>
      <c r="B28" s="1" t="s">
        <v>14</v>
      </c>
      <c r="C28" s="1" t="s">
        <v>37</v>
      </c>
      <c r="D28" s="1" t="s">
        <v>38</v>
      </c>
      <c r="E28" s="1" t="s">
        <v>46</v>
      </c>
      <c r="F28" s="1" t="s">
        <v>414</v>
      </c>
      <c r="G28" s="1" t="s">
        <v>141</v>
      </c>
      <c r="H28" s="1" t="s">
        <v>140</v>
      </c>
      <c r="I28" s="41" t="str">
        <f>VLOOKUP(Tbl_PctTrabajoPlanificado[[#This Row],[Orden mantenimiento]],Data!$E$2:$H$63,2,FALSE)</f>
        <v>C81</v>
      </c>
      <c r="J28" s="41" t="str" cm="1">
        <f t="array" ref="J28">_xlfn.IFS(I28="C81","Pl.Termoelec.Chuq.",I28="C82","Pl.Dist.Energ.Elec",I28="C89","Pl.Mant.Ind.Electr",I28="CO0","Concentradora A0",I28="CO1","Concentradora A1",I28="CO2","Concentradora A2",I28="CB1","SAE Centralizado",I28="C71","Pl.Maestranza.Cent",I28="C72","Pl.Calderería.Cent",I28="C74","CONTRATOS METALMEC",I28="C40","Planif. Refinería",I28="SAPCI","SAPCI",TRUE,"Código no encontrado")</f>
        <v>Pl.Termoelec.Chuq.</v>
      </c>
      <c r="K28" s="1" t="s">
        <v>263</v>
      </c>
      <c r="L28" s="1" t="s">
        <v>264</v>
      </c>
      <c r="M28" s="1" t="s">
        <v>206</v>
      </c>
      <c r="N28" s="1" t="s">
        <v>42</v>
      </c>
      <c r="O28" s="41">
        <f>Tbl_PctTrabajoPlanificado[[#This Row],[Fecha inicio real]]-Tbl_PctTrabajoPlanificado[[#This Row],[Fecha Libera Orden]]</f>
        <v>9</v>
      </c>
      <c r="P28" s="3">
        <v>46151</v>
      </c>
      <c r="Q28" s="3">
        <v>46160</v>
      </c>
      <c r="R28" s="1" t="s">
        <v>265</v>
      </c>
      <c r="S28" s="8">
        <v>100</v>
      </c>
      <c r="T28" s="9">
        <v>19</v>
      </c>
      <c r="U28" s="9">
        <v>19</v>
      </c>
      <c r="V28" t="s">
        <v>694</v>
      </c>
    </row>
    <row r="29" spans="1:22" ht="15.75" thickBot="1" x14ac:dyDescent="0.3">
      <c r="A29" s="18" t="s">
        <v>203</v>
      </c>
      <c r="B29" s="1" t="s">
        <v>14</v>
      </c>
      <c r="C29" s="1" t="s">
        <v>37</v>
      </c>
      <c r="D29" s="1" t="s">
        <v>38</v>
      </c>
      <c r="E29" s="1" t="s">
        <v>46</v>
      </c>
      <c r="F29" s="1" t="s">
        <v>414</v>
      </c>
      <c r="G29" s="1" t="s">
        <v>141</v>
      </c>
      <c r="H29" s="1" t="s">
        <v>140</v>
      </c>
      <c r="I29" s="41" t="str">
        <f>VLOOKUP(Tbl_PctTrabajoPlanificado[[#This Row],[Orden mantenimiento]],Data!$E$2:$H$63,2,FALSE)</f>
        <v>C81</v>
      </c>
      <c r="J29" s="41" t="str" cm="1">
        <f t="array" ref="J29">_xlfn.IFS(I29="C81","Pl.Termoelec.Chuq.",I29="C82","Pl.Dist.Energ.Elec",I29="C89","Pl.Mant.Ind.Electr",I29="CO0","Concentradora A0",I29="CO1","Concentradora A1",I29="CO2","Concentradora A2",I29="CB1","SAE Centralizado",I29="C71","Pl.Maestranza.Cent",I29="C72","Pl.Calderería.Cent",I29="C74","CONTRATOS METALMEC",I29="C40","Planif. Refinería",I29="SAPCI","SAPCI",TRUE,"Código no encontrado")</f>
        <v>Pl.Termoelec.Chuq.</v>
      </c>
      <c r="K29" s="1" t="s">
        <v>263</v>
      </c>
      <c r="L29" s="1" t="s">
        <v>264</v>
      </c>
      <c r="M29" s="1" t="s">
        <v>214</v>
      </c>
      <c r="N29" s="1" t="s">
        <v>42</v>
      </c>
      <c r="O29" s="41">
        <f>Tbl_PctTrabajoPlanificado[[#This Row],[Fecha inicio real]]-Tbl_PctTrabajoPlanificado[[#This Row],[Fecha Libera Orden]]</f>
        <v>9</v>
      </c>
      <c r="P29" s="3">
        <v>46151</v>
      </c>
      <c r="Q29" s="3">
        <v>46160</v>
      </c>
      <c r="R29" s="1" t="s">
        <v>265</v>
      </c>
      <c r="S29" s="6">
        <v>100</v>
      </c>
      <c r="T29" s="7">
        <v>3</v>
      </c>
      <c r="U29" s="7">
        <v>3</v>
      </c>
      <c r="V29" t="s">
        <v>694</v>
      </c>
    </row>
    <row r="30" spans="1:22" ht="15.75" thickBot="1" x14ac:dyDescent="0.3">
      <c r="A30" s="18" t="s">
        <v>203</v>
      </c>
      <c r="B30" s="1" t="s">
        <v>14</v>
      </c>
      <c r="C30" s="1" t="s">
        <v>37</v>
      </c>
      <c r="D30" s="1" t="s">
        <v>38</v>
      </c>
      <c r="E30" s="1" t="s">
        <v>46</v>
      </c>
      <c r="F30" s="1" t="s">
        <v>414</v>
      </c>
      <c r="G30" s="1" t="s">
        <v>141</v>
      </c>
      <c r="H30" s="1" t="s">
        <v>140</v>
      </c>
      <c r="I30" s="41" t="str">
        <f>VLOOKUP(Tbl_PctTrabajoPlanificado[[#This Row],[Orden mantenimiento]],Data!$E$2:$H$63,2,FALSE)</f>
        <v>C81</v>
      </c>
      <c r="J30" s="41" t="str" cm="1">
        <f t="array" ref="J30">_xlfn.IFS(I30="C81","Pl.Termoelec.Chuq.",I30="C82","Pl.Dist.Energ.Elec",I30="C89","Pl.Mant.Ind.Electr",I30="CO0","Concentradora A0",I30="CO1","Concentradora A1",I30="CO2","Concentradora A2",I30="CB1","SAE Centralizado",I30="C71","Pl.Maestranza.Cent",I30="C72","Pl.Calderería.Cent",I30="C74","CONTRATOS METALMEC",I30="C40","Planif. Refinería",I30="SAPCI","SAPCI",TRUE,"Código no encontrado")</f>
        <v>Pl.Termoelec.Chuq.</v>
      </c>
      <c r="K30" s="1" t="s">
        <v>266</v>
      </c>
      <c r="L30" s="1" t="s">
        <v>267</v>
      </c>
      <c r="M30" s="1" t="s">
        <v>206</v>
      </c>
      <c r="N30" s="1" t="s">
        <v>42</v>
      </c>
      <c r="O30" s="41">
        <f>Tbl_PctTrabajoPlanificado[[#This Row],[Fecha inicio real]]-Tbl_PctTrabajoPlanificado[[#This Row],[Fecha Libera Orden]]</f>
        <v>10</v>
      </c>
      <c r="P30" s="3">
        <v>46151</v>
      </c>
      <c r="Q30" s="3">
        <v>46161</v>
      </c>
      <c r="R30" s="1" t="s">
        <v>265</v>
      </c>
      <c r="S30" s="8">
        <v>100</v>
      </c>
      <c r="T30" s="9">
        <v>19</v>
      </c>
      <c r="U30" s="9">
        <v>19</v>
      </c>
      <c r="V30" t="s">
        <v>694</v>
      </c>
    </row>
    <row r="31" spans="1:22" ht="15.75" thickBot="1" x14ac:dyDescent="0.3">
      <c r="A31" s="18" t="s">
        <v>203</v>
      </c>
      <c r="B31" s="1" t="s">
        <v>14</v>
      </c>
      <c r="C31" s="1" t="s">
        <v>37</v>
      </c>
      <c r="D31" s="1" t="s">
        <v>38</v>
      </c>
      <c r="E31" s="1" t="s">
        <v>46</v>
      </c>
      <c r="F31" s="1" t="s">
        <v>414</v>
      </c>
      <c r="G31" s="1" t="s">
        <v>141</v>
      </c>
      <c r="H31" s="1" t="s">
        <v>140</v>
      </c>
      <c r="I31" s="41" t="str">
        <f>VLOOKUP(Tbl_PctTrabajoPlanificado[[#This Row],[Orden mantenimiento]],Data!$E$2:$H$63,2,FALSE)</f>
        <v>C81</v>
      </c>
      <c r="J31" s="41" t="str" cm="1">
        <f t="array" ref="J31">_xlfn.IFS(I31="C81","Pl.Termoelec.Chuq.",I31="C82","Pl.Dist.Energ.Elec",I31="C89","Pl.Mant.Ind.Electr",I31="CO0","Concentradora A0",I31="CO1","Concentradora A1",I31="CO2","Concentradora A2",I31="CB1","SAE Centralizado",I31="C71","Pl.Maestranza.Cent",I31="C72","Pl.Calderería.Cent",I31="C74","CONTRATOS METALMEC",I31="C40","Planif. Refinería",I31="SAPCI","SAPCI",TRUE,"Código no encontrado")</f>
        <v>Pl.Termoelec.Chuq.</v>
      </c>
      <c r="K31" s="1" t="s">
        <v>266</v>
      </c>
      <c r="L31" s="1" t="s">
        <v>267</v>
      </c>
      <c r="M31" s="1" t="s">
        <v>214</v>
      </c>
      <c r="N31" s="1" t="s">
        <v>42</v>
      </c>
      <c r="O31" s="41">
        <f>Tbl_PctTrabajoPlanificado[[#This Row],[Fecha inicio real]]-Tbl_PctTrabajoPlanificado[[#This Row],[Fecha Libera Orden]]</f>
        <v>10</v>
      </c>
      <c r="P31" s="3">
        <v>46151</v>
      </c>
      <c r="Q31" s="3">
        <v>46161</v>
      </c>
      <c r="R31" s="1" t="s">
        <v>265</v>
      </c>
      <c r="S31" s="6">
        <v>100</v>
      </c>
      <c r="T31" s="7">
        <v>3</v>
      </c>
      <c r="U31" s="7">
        <v>3</v>
      </c>
      <c r="V31" t="s">
        <v>694</v>
      </c>
    </row>
    <row r="32" spans="1:22" ht="15.75" thickBot="1" x14ac:dyDescent="0.3">
      <c r="A32" s="18" t="s">
        <v>203</v>
      </c>
      <c r="B32" s="1" t="s">
        <v>14</v>
      </c>
      <c r="C32" s="1" t="s">
        <v>37</v>
      </c>
      <c r="D32" s="1" t="s">
        <v>38</v>
      </c>
      <c r="E32" s="1" t="s">
        <v>46</v>
      </c>
      <c r="F32" s="1" t="s">
        <v>414</v>
      </c>
      <c r="G32" s="1" t="s">
        <v>141</v>
      </c>
      <c r="H32" s="1" t="s">
        <v>140</v>
      </c>
      <c r="I32" s="41" t="str">
        <f>VLOOKUP(Tbl_PctTrabajoPlanificado[[#This Row],[Orden mantenimiento]],Data!$E$2:$H$63,2,FALSE)</f>
        <v>C81</v>
      </c>
      <c r="J32" s="41" t="str" cm="1">
        <f t="array" ref="J32">_xlfn.IFS(I32="C81","Pl.Termoelec.Chuq.",I32="C82","Pl.Dist.Energ.Elec",I32="C89","Pl.Mant.Ind.Electr",I32="CO0","Concentradora A0",I32="CO1","Concentradora A1",I32="CO2","Concentradora A2",I32="CB1","SAE Centralizado",I32="C71","Pl.Maestranza.Cent",I32="C72","Pl.Calderería.Cent",I32="C74","CONTRATOS METALMEC",I32="C40","Planif. Refinería",I32="SAPCI","SAPCI",TRUE,"Código no encontrado")</f>
        <v>Pl.Termoelec.Chuq.</v>
      </c>
      <c r="K32" s="1" t="s">
        <v>268</v>
      </c>
      <c r="L32" s="1" t="s">
        <v>269</v>
      </c>
      <c r="M32" s="1" t="s">
        <v>206</v>
      </c>
      <c r="N32" s="1" t="s">
        <v>42</v>
      </c>
      <c r="O32" s="41">
        <f>Tbl_PctTrabajoPlanificado[[#This Row],[Fecha inicio real]]-Tbl_PctTrabajoPlanificado[[#This Row],[Fecha Libera Orden]]</f>
        <v>9</v>
      </c>
      <c r="P32" s="3">
        <v>46151</v>
      </c>
      <c r="Q32" s="3">
        <v>46160</v>
      </c>
      <c r="R32" s="1" t="s">
        <v>270</v>
      </c>
      <c r="S32" s="8">
        <v>100</v>
      </c>
      <c r="T32" s="9">
        <v>6</v>
      </c>
      <c r="U32" s="9">
        <v>6</v>
      </c>
      <c r="V32" t="s">
        <v>694</v>
      </c>
    </row>
    <row r="33" spans="1:22" ht="15.75" thickBot="1" x14ac:dyDescent="0.3">
      <c r="A33" s="18" t="s">
        <v>203</v>
      </c>
      <c r="B33" s="1" t="s">
        <v>14</v>
      </c>
      <c r="C33" s="1" t="s">
        <v>37</v>
      </c>
      <c r="D33" s="1" t="s">
        <v>38</v>
      </c>
      <c r="E33" s="1" t="s">
        <v>46</v>
      </c>
      <c r="F33" s="1" t="s">
        <v>414</v>
      </c>
      <c r="G33" s="1" t="s">
        <v>141</v>
      </c>
      <c r="H33" s="1" t="s">
        <v>140</v>
      </c>
      <c r="I33" s="41" t="str">
        <f>VLOOKUP(Tbl_PctTrabajoPlanificado[[#This Row],[Orden mantenimiento]],Data!$E$2:$H$63,2,FALSE)</f>
        <v>C81</v>
      </c>
      <c r="J33" s="41" t="str" cm="1">
        <f t="array" ref="J33">_xlfn.IFS(I33="C81","Pl.Termoelec.Chuq.",I33="C82","Pl.Dist.Energ.Elec",I33="C89","Pl.Mant.Ind.Electr",I33="CO0","Concentradora A0",I33="CO1","Concentradora A1",I33="CO2","Concentradora A2",I33="CB1","SAE Centralizado",I33="C71","Pl.Maestranza.Cent",I33="C72","Pl.Calderería.Cent",I33="C74","CONTRATOS METALMEC",I33="C40","Planif. Refinería",I33="SAPCI","SAPCI",TRUE,"Código no encontrado")</f>
        <v>Pl.Termoelec.Chuq.</v>
      </c>
      <c r="K33" s="1" t="s">
        <v>271</v>
      </c>
      <c r="L33" s="1" t="s">
        <v>272</v>
      </c>
      <c r="M33" s="1" t="s">
        <v>206</v>
      </c>
      <c r="N33" s="1" t="s">
        <v>42</v>
      </c>
      <c r="O33" s="41">
        <f>Tbl_PctTrabajoPlanificado[[#This Row],[Fecha inicio real]]-Tbl_PctTrabajoPlanificado[[#This Row],[Fecha Libera Orden]]</f>
        <v>11</v>
      </c>
      <c r="P33" s="3">
        <v>46151</v>
      </c>
      <c r="Q33" s="3">
        <v>46162</v>
      </c>
      <c r="R33" s="1" t="s">
        <v>273</v>
      </c>
      <c r="S33" s="6">
        <v>100</v>
      </c>
      <c r="T33" s="7">
        <v>3</v>
      </c>
      <c r="U33" s="7">
        <v>3</v>
      </c>
      <c r="V33" t="s">
        <v>694</v>
      </c>
    </row>
    <row r="34" spans="1:22" ht="15.75" thickBot="1" x14ac:dyDescent="0.3">
      <c r="A34" s="18" t="s">
        <v>203</v>
      </c>
      <c r="B34" s="1" t="s">
        <v>14</v>
      </c>
      <c r="C34" s="1" t="s">
        <v>37</v>
      </c>
      <c r="D34" s="1" t="s">
        <v>38</v>
      </c>
      <c r="E34" s="1" t="s">
        <v>46</v>
      </c>
      <c r="F34" s="1" t="s">
        <v>414</v>
      </c>
      <c r="G34" s="1" t="s">
        <v>141</v>
      </c>
      <c r="H34" s="1" t="s">
        <v>140</v>
      </c>
      <c r="I34" s="41" t="str">
        <f>VLOOKUP(Tbl_PctTrabajoPlanificado[[#This Row],[Orden mantenimiento]],Data!$E$2:$H$63,2,FALSE)</f>
        <v>C81</v>
      </c>
      <c r="J34" s="41" t="str" cm="1">
        <f t="array" ref="J34">_xlfn.IFS(I34="C81","Pl.Termoelec.Chuq.",I34="C82","Pl.Dist.Energ.Elec",I34="C89","Pl.Mant.Ind.Electr",I34="CO0","Concentradora A0",I34="CO1","Concentradora A1",I34="CO2","Concentradora A2",I34="CB1","SAE Centralizado",I34="C71","Pl.Maestranza.Cent",I34="C72","Pl.Calderería.Cent",I34="C74","CONTRATOS METALMEC",I34="C40","Planif. Refinería",I34="SAPCI","SAPCI",TRUE,"Código no encontrado")</f>
        <v>Pl.Termoelec.Chuq.</v>
      </c>
      <c r="K34" s="1" t="s">
        <v>274</v>
      </c>
      <c r="L34" s="1" t="s">
        <v>275</v>
      </c>
      <c r="M34" s="1" t="s">
        <v>206</v>
      </c>
      <c r="N34" s="1" t="s">
        <v>42</v>
      </c>
      <c r="O34" s="41">
        <f>Tbl_PctTrabajoPlanificado[[#This Row],[Fecha inicio real]]-Tbl_PctTrabajoPlanificado[[#This Row],[Fecha Libera Orden]]</f>
        <v>10</v>
      </c>
      <c r="P34" s="3">
        <v>46151</v>
      </c>
      <c r="Q34" s="3">
        <v>46161</v>
      </c>
      <c r="R34" s="1" t="s">
        <v>273</v>
      </c>
      <c r="S34" s="8">
        <v>100</v>
      </c>
      <c r="T34" s="9">
        <v>3</v>
      </c>
      <c r="U34" s="9">
        <v>3</v>
      </c>
      <c r="V34" t="s">
        <v>694</v>
      </c>
    </row>
    <row r="35" spans="1:22" ht="15.75" thickBot="1" x14ac:dyDescent="0.3">
      <c r="A35" s="18" t="s">
        <v>203</v>
      </c>
      <c r="B35" s="1" t="s">
        <v>14</v>
      </c>
      <c r="C35" s="1" t="s">
        <v>37</v>
      </c>
      <c r="D35" s="1" t="s">
        <v>38</v>
      </c>
      <c r="E35" s="1" t="s">
        <v>46</v>
      </c>
      <c r="F35" s="1" t="s">
        <v>414</v>
      </c>
      <c r="G35" s="1" t="s">
        <v>141</v>
      </c>
      <c r="H35" s="1" t="s">
        <v>140</v>
      </c>
      <c r="I35" s="41" t="str">
        <f>VLOOKUP(Tbl_PctTrabajoPlanificado[[#This Row],[Orden mantenimiento]],Data!$E$2:$H$63,2,FALSE)</f>
        <v>C81</v>
      </c>
      <c r="J35" s="41" t="str" cm="1">
        <f t="array" ref="J35">_xlfn.IFS(I35="C81","Pl.Termoelec.Chuq.",I35="C82","Pl.Dist.Energ.Elec",I35="C89","Pl.Mant.Ind.Electr",I35="CO0","Concentradora A0",I35="CO1","Concentradora A1",I35="CO2","Concentradora A2",I35="CB1","SAE Centralizado",I35="C71","Pl.Maestranza.Cent",I35="C72","Pl.Calderería.Cent",I35="C74","CONTRATOS METALMEC",I35="C40","Planif. Refinería",I35="SAPCI","SAPCI",TRUE,"Código no encontrado")</f>
        <v>Pl.Termoelec.Chuq.</v>
      </c>
      <c r="K35" s="1" t="s">
        <v>276</v>
      </c>
      <c r="L35" s="1" t="s">
        <v>277</v>
      </c>
      <c r="M35" s="1" t="s">
        <v>206</v>
      </c>
      <c r="N35" s="1" t="s">
        <v>42</v>
      </c>
      <c r="O35" s="41">
        <f>Tbl_PctTrabajoPlanificado[[#This Row],[Fecha inicio real]]-Tbl_PctTrabajoPlanificado[[#This Row],[Fecha Libera Orden]]</f>
        <v>12</v>
      </c>
      <c r="P35" s="3">
        <v>46151</v>
      </c>
      <c r="Q35" s="3">
        <v>46163</v>
      </c>
      <c r="R35" s="1" t="s">
        <v>278</v>
      </c>
      <c r="S35" s="6">
        <v>100</v>
      </c>
      <c r="T35" s="7">
        <v>39.200000000000003</v>
      </c>
      <c r="U35" s="7">
        <v>39.200000000000003</v>
      </c>
      <c r="V35" t="s">
        <v>694</v>
      </c>
    </row>
    <row r="36" spans="1:22" ht="15.75" thickBot="1" x14ac:dyDescent="0.3">
      <c r="A36" s="18" t="s">
        <v>203</v>
      </c>
      <c r="B36" s="1" t="s">
        <v>14</v>
      </c>
      <c r="C36" s="1" t="s">
        <v>37</v>
      </c>
      <c r="D36" s="1" t="s">
        <v>38</v>
      </c>
      <c r="E36" s="1" t="s">
        <v>46</v>
      </c>
      <c r="F36" s="1" t="s">
        <v>414</v>
      </c>
      <c r="G36" s="1" t="s">
        <v>141</v>
      </c>
      <c r="H36" s="1" t="s">
        <v>140</v>
      </c>
      <c r="I36" s="41" t="str">
        <f>VLOOKUP(Tbl_PctTrabajoPlanificado[[#This Row],[Orden mantenimiento]],Data!$E$2:$H$63,2,FALSE)</f>
        <v>C81</v>
      </c>
      <c r="J36" s="41" t="str" cm="1">
        <f t="array" ref="J36">_xlfn.IFS(I36="C81","Pl.Termoelec.Chuq.",I36="C82","Pl.Dist.Energ.Elec",I36="C89","Pl.Mant.Ind.Electr",I36="CO0","Concentradora A0",I36="CO1","Concentradora A1",I36="CO2","Concentradora A2",I36="CB1","SAE Centralizado",I36="C71","Pl.Maestranza.Cent",I36="C72","Pl.Calderería.Cent",I36="C74","CONTRATOS METALMEC",I36="C40","Planif. Refinería",I36="SAPCI","SAPCI",TRUE,"Código no encontrado")</f>
        <v>Pl.Termoelec.Chuq.</v>
      </c>
      <c r="K36" s="1" t="s">
        <v>279</v>
      </c>
      <c r="L36" s="1" t="s">
        <v>280</v>
      </c>
      <c r="M36" s="1" t="s">
        <v>206</v>
      </c>
      <c r="N36" s="1" t="s">
        <v>42</v>
      </c>
      <c r="O36" s="41">
        <f>Tbl_PctTrabajoPlanificado[[#This Row],[Fecha inicio real]]-Tbl_PctTrabajoPlanificado[[#This Row],[Fecha Libera Orden]]</f>
        <v>12</v>
      </c>
      <c r="P36" s="3">
        <v>46148</v>
      </c>
      <c r="Q36" s="3">
        <v>46160</v>
      </c>
      <c r="R36" s="1" t="s">
        <v>281</v>
      </c>
      <c r="S36" s="8">
        <v>100</v>
      </c>
      <c r="T36" s="9">
        <v>19</v>
      </c>
      <c r="U36" s="9">
        <v>19</v>
      </c>
      <c r="V36" t="s">
        <v>694</v>
      </c>
    </row>
    <row r="37" spans="1:22" ht="15.75" thickBot="1" x14ac:dyDescent="0.3">
      <c r="A37" s="18" t="s">
        <v>203</v>
      </c>
      <c r="B37" s="1" t="s">
        <v>14</v>
      </c>
      <c r="C37" s="1" t="s">
        <v>37</v>
      </c>
      <c r="D37" s="1" t="s">
        <v>38</v>
      </c>
      <c r="E37" s="1" t="s">
        <v>46</v>
      </c>
      <c r="F37" s="1" t="s">
        <v>414</v>
      </c>
      <c r="G37" s="1" t="s">
        <v>141</v>
      </c>
      <c r="H37" s="1" t="s">
        <v>140</v>
      </c>
      <c r="I37" s="41" t="str">
        <f>VLOOKUP(Tbl_PctTrabajoPlanificado[[#This Row],[Orden mantenimiento]],Data!$E$2:$H$63,2,FALSE)</f>
        <v>C81</v>
      </c>
      <c r="J37" s="41" t="str" cm="1">
        <f t="array" ref="J37">_xlfn.IFS(I37="C81","Pl.Termoelec.Chuq.",I37="C82","Pl.Dist.Energ.Elec",I37="C89","Pl.Mant.Ind.Electr",I37="CO0","Concentradora A0",I37="CO1","Concentradora A1",I37="CO2","Concentradora A2",I37="CB1","SAE Centralizado",I37="C71","Pl.Maestranza.Cent",I37="C72","Pl.Calderería.Cent",I37="C74","CONTRATOS METALMEC",I37="C40","Planif. Refinería",I37="SAPCI","SAPCI",TRUE,"Código no encontrado")</f>
        <v>Pl.Termoelec.Chuq.</v>
      </c>
      <c r="K37" s="1" t="s">
        <v>279</v>
      </c>
      <c r="L37" s="1" t="s">
        <v>280</v>
      </c>
      <c r="M37" s="1" t="s">
        <v>206</v>
      </c>
      <c r="N37" s="1" t="s">
        <v>42</v>
      </c>
      <c r="O37" s="41">
        <f>Tbl_PctTrabajoPlanificado[[#This Row],[Fecha inicio real]]-Tbl_PctTrabajoPlanificado[[#This Row],[Fecha Libera Orden]]</f>
        <v>16</v>
      </c>
      <c r="P37" s="3">
        <v>46148</v>
      </c>
      <c r="Q37" s="3">
        <v>46164</v>
      </c>
      <c r="R37" s="1" t="s">
        <v>281</v>
      </c>
      <c r="S37" s="6">
        <v>100</v>
      </c>
      <c r="T37" s="7">
        <v>2</v>
      </c>
      <c r="U37" s="7">
        <v>2</v>
      </c>
      <c r="V37" t="s">
        <v>694</v>
      </c>
    </row>
    <row r="38" spans="1:22" ht="15.75" thickBot="1" x14ac:dyDescent="0.3">
      <c r="A38" s="18" t="s">
        <v>203</v>
      </c>
      <c r="B38" s="1" t="s">
        <v>14</v>
      </c>
      <c r="C38" s="1" t="s">
        <v>37</v>
      </c>
      <c r="D38" s="1" t="s">
        <v>38</v>
      </c>
      <c r="E38" s="1" t="s">
        <v>46</v>
      </c>
      <c r="F38" s="1" t="s">
        <v>414</v>
      </c>
      <c r="G38" s="1" t="s">
        <v>141</v>
      </c>
      <c r="H38" s="1" t="s">
        <v>140</v>
      </c>
      <c r="I38" s="41" t="str">
        <f>VLOOKUP(Tbl_PctTrabajoPlanificado[[#This Row],[Orden mantenimiento]],Data!$E$2:$H$63,2,FALSE)</f>
        <v>C81</v>
      </c>
      <c r="J38" s="41" t="str" cm="1">
        <f t="array" ref="J38">_xlfn.IFS(I38="C81","Pl.Termoelec.Chuq.",I38="C82","Pl.Dist.Energ.Elec",I38="C89","Pl.Mant.Ind.Electr",I38="CO0","Concentradora A0",I38="CO1","Concentradora A1",I38="CO2","Concentradora A2",I38="CB1","SAE Centralizado",I38="C71","Pl.Maestranza.Cent",I38="C72","Pl.Calderería.Cent",I38="C74","CONTRATOS METALMEC",I38="C40","Planif. Refinería",I38="SAPCI","SAPCI",TRUE,"Código no encontrado")</f>
        <v>Pl.Termoelec.Chuq.</v>
      </c>
      <c r="K38" s="1" t="s">
        <v>279</v>
      </c>
      <c r="L38" s="1" t="s">
        <v>280</v>
      </c>
      <c r="M38" s="1" t="s">
        <v>214</v>
      </c>
      <c r="N38" s="1" t="s">
        <v>42</v>
      </c>
      <c r="O38" s="41">
        <f>Tbl_PctTrabajoPlanificado[[#This Row],[Fecha inicio real]]-Tbl_PctTrabajoPlanificado[[#This Row],[Fecha Libera Orden]]</f>
        <v>12</v>
      </c>
      <c r="P38" s="3">
        <v>46148</v>
      </c>
      <c r="Q38" s="3">
        <v>46160</v>
      </c>
      <c r="R38" s="1" t="s">
        <v>281</v>
      </c>
      <c r="S38" s="8">
        <v>100</v>
      </c>
      <c r="T38" s="9">
        <v>40</v>
      </c>
      <c r="U38" s="9">
        <v>40</v>
      </c>
      <c r="V38" t="s">
        <v>694</v>
      </c>
    </row>
    <row r="39" spans="1:22" ht="15.75" thickBot="1" x14ac:dyDescent="0.3">
      <c r="A39" s="18" t="s">
        <v>203</v>
      </c>
      <c r="B39" s="1" t="s">
        <v>14</v>
      </c>
      <c r="C39" s="1" t="s">
        <v>37</v>
      </c>
      <c r="D39" s="1" t="s">
        <v>38</v>
      </c>
      <c r="E39" s="1" t="s">
        <v>46</v>
      </c>
      <c r="F39" s="1" t="s">
        <v>414</v>
      </c>
      <c r="G39" s="1" t="s">
        <v>44</v>
      </c>
      <c r="H39" s="1" t="s">
        <v>43</v>
      </c>
      <c r="I39" s="41" t="str">
        <f>VLOOKUP(Tbl_PctTrabajoPlanificado[[#This Row],[Orden mantenimiento]],Data!$E$2:$H$63,2,FALSE)</f>
        <v>C81</v>
      </c>
      <c r="J39" s="41" t="str" cm="1">
        <f t="array" ref="J39">_xlfn.IFS(I39="C81","Pl.Termoelec.Chuq.",I39="C82","Pl.Dist.Energ.Elec",I39="C89","Pl.Mant.Ind.Electr",I39="CO0","Concentradora A0",I39="CO1","Concentradora A1",I39="CO2","Concentradora A2",I39="CB1","SAE Centralizado",I39="C71","Pl.Maestranza.Cent",I39="C72","Pl.Calderería.Cent",I39="C74","CONTRATOS METALMEC",I39="C40","Planif. Refinería",I39="SAPCI","SAPCI",TRUE,"Código no encontrado")</f>
        <v>Pl.Termoelec.Chuq.</v>
      </c>
      <c r="K39" s="1" t="s">
        <v>282</v>
      </c>
      <c r="L39" s="1" t="s">
        <v>283</v>
      </c>
      <c r="M39" s="1" t="s">
        <v>206</v>
      </c>
      <c r="N39" s="1" t="s">
        <v>42</v>
      </c>
      <c r="O39" s="41">
        <f>Tbl_PctTrabajoPlanificado[[#This Row],[Fecha inicio real]]-Tbl_PctTrabajoPlanificado[[#This Row],[Fecha Libera Orden]]</f>
        <v>480</v>
      </c>
      <c r="P39" s="3">
        <v>45680</v>
      </c>
      <c r="Q39" s="3">
        <v>46160</v>
      </c>
      <c r="R39" s="1" t="s">
        <v>284</v>
      </c>
      <c r="S39" s="6">
        <v>100</v>
      </c>
      <c r="T39" s="7">
        <v>4</v>
      </c>
      <c r="U39" s="7">
        <v>4</v>
      </c>
      <c r="V39" t="s">
        <v>694</v>
      </c>
    </row>
    <row r="40" spans="1:22" ht="15.75" thickBot="1" x14ac:dyDescent="0.3">
      <c r="A40" s="18" t="s">
        <v>203</v>
      </c>
      <c r="B40" s="1" t="s">
        <v>14</v>
      </c>
      <c r="C40" s="1" t="s">
        <v>37</v>
      </c>
      <c r="D40" s="1" t="s">
        <v>38</v>
      </c>
      <c r="E40" s="1" t="s">
        <v>46</v>
      </c>
      <c r="F40" s="1" t="s">
        <v>414</v>
      </c>
      <c r="G40" s="1" t="s">
        <v>44</v>
      </c>
      <c r="H40" s="1" t="s">
        <v>43</v>
      </c>
      <c r="I40" s="41" t="str">
        <f>VLOOKUP(Tbl_PctTrabajoPlanificado[[#This Row],[Orden mantenimiento]],Data!$E$2:$H$63,2,FALSE)</f>
        <v>C81</v>
      </c>
      <c r="J40" s="41" t="str" cm="1">
        <f t="array" ref="J40">_xlfn.IFS(I40="C81","Pl.Termoelec.Chuq.",I40="C82","Pl.Dist.Energ.Elec",I40="C89","Pl.Mant.Ind.Electr",I40="CO0","Concentradora A0",I40="CO1","Concentradora A1",I40="CO2","Concentradora A2",I40="CB1","SAE Centralizado",I40="C71","Pl.Maestranza.Cent",I40="C72","Pl.Calderería.Cent",I40="C74","CONTRATOS METALMEC",I40="C40","Planif. Refinería",I40="SAPCI","SAPCI",TRUE,"Código no encontrado")</f>
        <v>Pl.Termoelec.Chuq.</v>
      </c>
      <c r="K40" s="1" t="s">
        <v>282</v>
      </c>
      <c r="L40" s="1" t="s">
        <v>283</v>
      </c>
      <c r="M40" s="1" t="s">
        <v>214</v>
      </c>
      <c r="N40" s="1" t="s">
        <v>42</v>
      </c>
      <c r="O40" s="41">
        <f>Tbl_PctTrabajoPlanificado[[#This Row],[Fecha inicio real]]-Tbl_PctTrabajoPlanificado[[#This Row],[Fecha Libera Orden]]</f>
        <v>480</v>
      </c>
      <c r="P40" s="3">
        <v>45680</v>
      </c>
      <c r="Q40" s="3">
        <v>46160</v>
      </c>
      <c r="R40" s="1" t="s">
        <v>284</v>
      </c>
      <c r="S40" s="8">
        <v>100</v>
      </c>
      <c r="T40" s="9">
        <v>5</v>
      </c>
      <c r="U40" s="9">
        <v>5</v>
      </c>
      <c r="V40" t="s">
        <v>694</v>
      </c>
    </row>
    <row r="41" spans="1:22" ht="15.75" thickBot="1" x14ac:dyDescent="0.3">
      <c r="A41" s="18" t="s">
        <v>203</v>
      </c>
      <c r="B41" s="1" t="s">
        <v>14</v>
      </c>
      <c r="C41" s="1" t="s">
        <v>37</v>
      </c>
      <c r="D41" s="1" t="s">
        <v>38</v>
      </c>
      <c r="E41" s="1" t="s">
        <v>46</v>
      </c>
      <c r="F41" s="1" t="s">
        <v>414</v>
      </c>
      <c r="G41" s="1" t="s">
        <v>44</v>
      </c>
      <c r="H41" s="1" t="s">
        <v>43</v>
      </c>
      <c r="I41" s="41" t="str">
        <f>VLOOKUP(Tbl_PctTrabajoPlanificado[[#This Row],[Orden mantenimiento]],Data!$E$2:$H$63,2,FALSE)</f>
        <v>C81</v>
      </c>
      <c r="J41" s="41" t="str" cm="1">
        <f t="array" ref="J41">_xlfn.IFS(I41="C81","Pl.Termoelec.Chuq.",I41="C82","Pl.Dist.Energ.Elec",I41="C89","Pl.Mant.Ind.Electr",I41="CO0","Concentradora A0",I41="CO1","Concentradora A1",I41="CO2","Concentradora A2",I41="CB1","SAE Centralizado",I41="C71","Pl.Maestranza.Cent",I41="C72","Pl.Calderería.Cent",I41="C74","CONTRATOS METALMEC",I41="C40","Planif. Refinería",I41="SAPCI","SAPCI",TRUE,"Código no encontrado")</f>
        <v>Pl.Termoelec.Chuq.</v>
      </c>
      <c r="K41" s="1" t="s">
        <v>285</v>
      </c>
      <c r="L41" s="1" t="s">
        <v>286</v>
      </c>
      <c r="M41" s="1" t="s">
        <v>206</v>
      </c>
      <c r="N41" s="1" t="s">
        <v>42</v>
      </c>
      <c r="O41" s="41">
        <f>Tbl_PctTrabajoPlanificado[[#This Row],[Fecha inicio real]]-Tbl_PctTrabajoPlanificado[[#This Row],[Fecha Libera Orden]]</f>
        <v>439</v>
      </c>
      <c r="P41" s="3">
        <v>45722</v>
      </c>
      <c r="Q41" s="3">
        <v>46161</v>
      </c>
      <c r="R41" s="1" t="s">
        <v>284</v>
      </c>
      <c r="S41" s="6">
        <v>100</v>
      </c>
      <c r="T41" s="7">
        <v>16</v>
      </c>
      <c r="U41" s="7">
        <v>16</v>
      </c>
      <c r="V41" t="s">
        <v>694</v>
      </c>
    </row>
    <row r="42" spans="1:22" ht="15.75" thickBot="1" x14ac:dyDescent="0.3">
      <c r="A42" s="18" t="s">
        <v>203</v>
      </c>
      <c r="B42" s="1" t="s">
        <v>14</v>
      </c>
      <c r="C42" s="1" t="s">
        <v>37</v>
      </c>
      <c r="D42" s="1" t="s">
        <v>38</v>
      </c>
      <c r="E42" s="1" t="s">
        <v>46</v>
      </c>
      <c r="F42" s="1" t="s">
        <v>414</v>
      </c>
      <c r="G42" s="1" t="s">
        <v>44</v>
      </c>
      <c r="H42" s="1" t="s">
        <v>43</v>
      </c>
      <c r="I42" s="41" t="str">
        <f>VLOOKUP(Tbl_PctTrabajoPlanificado[[#This Row],[Orden mantenimiento]],Data!$E$2:$H$63,2,FALSE)</f>
        <v>C81</v>
      </c>
      <c r="J42" s="41" t="str" cm="1">
        <f t="array" ref="J42">_xlfn.IFS(I42="C81","Pl.Termoelec.Chuq.",I42="C82","Pl.Dist.Energ.Elec",I42="C89","Pl.Mant.Ind.Electr",I42="CO0","Concentradora A0",I42="CO1","Concentradora A1",I42="CO2","Concentradora A2",I42="CB1","SAE Centralizado",I42="C71","Pl.Maestranza.Cent",I42="C72","Pl.Calderería.Cent",I42="C74","CONTRATOS METALMEC",I42="C40","Planif. Refinería",I42="SAPCI","SAPCI",TRUE,"Código no encontrado")</f>
        <v>Pl.Termoelec.Chuq.</v>
      </c>
      <c r="K42" s="1" t="s">
        <v>285</v>
      </c>
      <c r="L42" s="1" t="s">
        <v>286</v>
      </c>
      <c r="M42" s="1" t="s">
        <v>214</v>
      </c>
      <c r="N42" s="1" t="s">
        <v>42</v>
      </c>
      <c r="O42" s="41">
        <f>Tbl_PctTrabajoPlanificado[[#This Row],[Fecha inicio real]]-Tbl_PctTrabajoPlanificado[[#This Row],[Fecha Libera Orden]]</f>
        <v>438</v>
      </c>
      <c r="P42" s="3">
        <v>45722</v>
      </c>
      <c r="Q42" s="3">
        <v>46160</v>
      </c>
      <c r="R42" s="1" t="s">
        <v>284</v>
      </c>
      <c r="S42" s="8">
        <v>100</v>
      </c>
      <c r="T42" s="9">
        <v>3</v>
      </c>
      <c r="U42" s="9">
        <v>3</v>
      </c>
      <c r="V42" t="s">
        <v>694</v>
      </c>
    </row>
    <row r="43" spans="1:22" ht="15.75" thickBot="1" x14ac:dyDescent="0.3">
      <c r="A43" s="18" t="s">
        <v>203</v>
      </c>
      <c r="B43" s="1" t="s">
        <v>14</v>
      </c>
      <c r="C43" s="1" t="s">
        <v>37</v>
      </c>
      <c r="D43" s="1" t="s">
        <v>38</v>
      </c>
      <c r="E43" s="1" t="s">
        <v>46</v>
      </c>
      <c r="F43" s="1" t="s">
        <v>414</v>
      </c>
      <c r="G43" s="1" t="s">
        <v>44</v>
      </c>
      <c r="H43" s="1" t="s">
        <v>43</v>
      </c>
      <c r="I43" s="41" t="str">
        <f>VLOOKUP(Tbl_PctTrabajoPlanificado[[#This Row],[Orden mantenimiento]],Data!$E$2:$H$63,2,FALSE)</f>
        <v>C81</v>
      </c>
      <c r="J43" s="41" t="str" cm="1">
        <f t="array" ref="J43">_xlfn.IFS(I43="C81","Pl.Termoelec.Chuq.",I43="C82","Pl.Dist.Energ.Elec",I43="C89","Pl.Mant.Ind.Electr",I43="CO0","Concentradora A0",I43="CO1","Concentradora A1",I43="CO2","Concentradora A2",I43="CB1","SAE Centralizado",I43="C71","Pl.Maestranza.Cent",I43="C72","Pl.Calderería.Cent",I43="C74","CONTRATOS METALMEC",I43="C40","Planif. Refinería",I43="SAPCI","SAPCI",TRUE,"Código no encontrado")</f>
        <v>Pl.Termoelec.Chuq.</v>
      </c>
      <c r="K43" s="1" t="s">
        <v>287</v>
      </c>
      <c r="L43" s="1" t="s">
        <v>288</v>
      </c>
      <c r="M43" s="1" t="s">
        <v>206</v>
      </c>
      <c r="N43" s="1" t="s">
        <v>42</v>
      </c>
      <c r="O43" s="41">
        <f>Tbl_PctTrabajoPlanificado[[#This Row],[Fecha inicio real]]-Tbl_PctTrabajoPlanificado[[#This Row],[Fecha Libera Orden]]</f>
        <v>427</v>
      </c>
      <c r="P43" s="3">
        <v>45734</v>
      </c>
      <c r="Q43" s="3">
        <v>46161</v>
      </c>
      <c r="R43" s="1" t="s">
        <v>284</v>
      </c>
      <c r="S43" s="6">
        <v>100</v>
      </c>
      <c r="T43" s="7">
        <v>4</v>
      </c>
      <c r="U43" s="7">
        <v>4</v>
      </c>
      <c r="V43" t="s">
        <v>694</v>
      </c>
    </row>
    <row r="44" spans="1:22" ht="15.75" thickBot="1" x14ac:dyDescent="0.3">
      <c r="A44" s="18" t="s">
        <v>203</v>
      </c>
      <c r="B44" s="1" t="s">
        <v>14</v>
      </c>
      <c r="C44" s="1" t="s">
        <v>37</v>
      </c>
      <c r="D44" s="1" t="s">
        <v>38</v>
      </c>
      <c r="E44" s="1" t="s">
        <v>46</v>
      </c>
      <c r="F44" s="1" t="s">
        <v>414</v>
      </c>
      <c r="G44" s="1" t="s">
        <v>44</v>
      </c>
      <c r="H44" s="1" t="s">
        <v>43</v>
      </c>
      <c r="I44" s="41" t="str">
        <f>VLOOKUP(Tbl_PctTrabajoPlanificado[[#This Row],[Orden mantenimiento]],Data!$E$2:$H$63,2,FALSE)</f>
        <v>C81</v>
      </c>
      <c r="J44" s="41" t="str" cm="1">
        <f t="array" ref="J44">_xlfn.IFS(I44="C81","Pl.Termoelec.Chuq.",I44="C82","Pl.Dist.Energ.Elec",I44="C89","Pl.Mant.Ind.Electr",I44="CO0","Concentradora A0",I44="CO1","Concentradora A1",I44="CO2","Concentradora A2",I44="CB1","SAE Centralizado",I44="C71","Pl.Maestranza.Cent",I44="C72","Pl.Calderería.Cent",I44="C74","CONTRATOS METALMEC",I44="C40","Planif. Refinería",I44="SAPCI","SAPCI",TRUE,"Código no encontrado")</f>
        <v>Pl.Termoelec.Chuq.</v>
      </c>
      <c r="K44" s="1" t="s">
        <v>287</v>
      </c>
      <c r="L44" s="1" t="s">
        <v>288</v>
      </c>
      <c r="M44" s="1" t="s">
        <v>206</v>
      </c>
      <c r="N44" s="1" t="s">
        <v>42</v>
      </c>
      <c r="O44" s="41">
        <f>Tbl_PctTrabajoPlanificado[[#This Row],[Fecha inicio real]]-Tbl_PctTrabajoPlanificado[[#This Row],[Fecha Libera Orden]]</f>
        <v>428</v>
      </c>
      <c r="P44" s="3">
        <v>45734</v>
      </c>
      <c r="Q44" s="3">
        <v>46162</v>
      </c>
      <c r="R44" s="1" t="s">
        <v>284</v>
      </c>
      <c r="S44" s="8">
        <v>100</v>
      </c>
      <c r="T44" s="9">
        <v>18</v>
      </c>
      <c r="U44" s="9">
        <v>18</v>
      </c>
      <c r="V44" t="s">
        <v>694</v>
      </c>
    </row>
    <row r="45" spans="1:22" ht="15.75" thickBot="1" x14ac:dyDescent="0.3">
      <c r="A45" s="18" t="s">
        <v>203</v>
      </c>
      <c r="B45" s="1" t="s">
        <v>14</v>
      </c>
      <c r="C45" s="1" t="s">
        <v>37</v>
      </c>
      <c r="D45" s="1" t="s">
        <v>38</v>
      </c>
      <c r="E45" s="1" t="s">
        <v>46</v>
      </c>
      <c r="F45" s="1" t="s">
        <v>414</v>
      </c>
      <c r="G45" s="1" t="s">
        <v>44</v>
      </c>
      <c r="H45" s="1" t="s">
        <v>43</v>
      </c>
      <c r="I45" s="41" t="str">
        <f>VLOOKUP(Tbl_PctTrabajoPlanificado[[#This Row],[Orden mantenimiento]],Data!$E$2:$H$63,2,FALSE)</f>
        <v>C81</v>
      </c>
      <c r="J45" s="41" t="str" cm="1">
        <f t="array" ref="J45">_xlfn.IFS(I45="C81","Pl.Termoelec.Chuq.",I45="C82","Pl.Dist.Energ.Elec",I45="C89","Pl.Mant.Ind.Electr",I45="CO0","Concentradora A0",I45="CO1","Concentradora A1",I45="CO2","Concentradora A2",I45="CB1","SAE Centralizado",I45="C71","Pl.Maestranza.Cent",I45="C72","Pl.Calderería.Cent",I45="C74","CONTRATOS METALMEC",I45="C40","Planif. Refinería",I45="SAPCI","SAPCI",TRUE,"Código no encontrado")</f>
        <v>Pl.Termoelec.Chuq.</v>
      </c>
      <c r="K45" s="1" t="s">
        <v>287</v>
      </c>
      <c r="L45" s="1" t="s">
        <v>288</v>
      </c>
      <c r="M45" s="1" t="s">
        <v>214</v>
      </c>
      <c r="N45" s="1" t="s">
        <v>42</v>
      </c>
      <c r="O45" s="41">
        <f>Tbl_PctTrabajoPlanificado[[#This Row],[Fecha inicio real]]-Tbl_PctTrabajoPlanificado[[#This Row],[Fecha Libera Orden]]</f>
        <v>427</v>
      </c>
      <c r="P45" s="3">
        <v>45734</v>
      </c>
      <c r="Q45" s="3">
        <v>46161</v>
      </c>
      <c r="R45" s="1" t="s">
        <v>284</v>
      </c>
      <c r="S45" s="6">
        <v>100</v>
      </c>
      <c r="T45" s="7">
        <v>17</v>
      </c>
      <c r="U45" s="7">
        <v>17</v>
      </c>
      <c r="V45" t="s">
        <v>694</v>
      </c>
    </row>
    <row r="46" spans="1:22" ht="15.75" thickBot="1" x14ac:dyDescent="0.3">
      <c r="A46" s="18" t="s">
        <v>203</v>
      </c>
      <c r="B46" s="1" t="s">
        <v>14</v>
      </c>
      <c r="C46" s="1" t="s">
        <v>37</v>
      </c>
      <c r="D46" s="1" t="s">
        <v>38</v>
      </c>
      <c r="E46" s="1" t="s">
        <v>46</v>
      </c>
      <c r="F46" s="1" t="s">
        <v>414</v>
      </c>
      <c r="G46" s="1" t="s">
        <v>44</v>
      </c>
      <c r="H46" s="1" t="s">
        <v>43</v>
      </c>
      <c r="I46" s="41" t="str">
        <f>VLOOKUP(Tbl_PctTrabajoPlanificado[[#This Row],[Orden mantenimiento]],Data!$E$2:$H$63,2,FALSE)</f>
        <v>C81</v>
      </c>
      <c r="J46" s="41" t="str" cm="1">
        <f t="array" ref="J46">_xlfn.IFS(I46="C81","Pl.Termoelec.Chuq.",I46="C82","Pl.Dist.Energ.Elec",I46="C89","Pl.Mant.Ind.Electr",I46="CO0","Concentradora A0",I46="CO1","Concentradora A1",I46="CO2","Concentradora A2",I46="CB1","SAE Centralizado",I46="C71","Pl.Maestranza.Cent",I46="C72","Pl.Calderería.Cent",I46="C74","CONTRATOS METALMEC",I46="C40","Planif. Refinería",I46="SAPCI","SAPCI",TRUE,"Código no encontrado")</f>
        <v>Pl.Termoelec.Chuq.</v>
      </c>
      <c r="K46" s="1" t="s">
        <v>289</v>
      </c>
      <c r="L46" s="1" t="s">
        <v>290</v>
      </c>
      <c r="M46" s="1" t="s">
        <v>206</v>
      </c>
      <c r="N46" s="1" t="s">
        <v>42</v>
      </c>
      <c r="O46" s="41">
        <f>Tbl_PctTrabajoPlanificado[[#This Row],[Fecha inicio real]]-Tbl_PctTrabajoPlanificado[[#This Row],[Fecha Libera Orden]]</f>
        <v>428</v>
      </c>
      <c r="P46" s="3">
        <v>45734</v>
      </c>
      <c r="Q46" s="3">
        <v>46162</v>
      </c>
      <c r="R46" s="1" t="s">
        <v>284</v>
      </c>
      <c r="S46" s="8">
        <v>100</v>
      </c>
      <c r="T46" s="9">
        <v>18</v>
      </c>
      <c r="U46" s="9">
        <v>18</v>
      </c>
      <c r="V46" t="s">
        <v>694</v>
      </c>
    </row>
    <row r="47" spans="1:22" ht="15.75" thickBot="1" x14ac:dyDescent="0.3">
      <c r="A47" s="18" t="s">
        <v>203</v>
      </c>
      <c r="B47" s="1" t="s">
        <v>14</v>
      </c>
      <c r="C47" s="1" t="s">
        <v>37</v>
      </c>
      <c r="D47" s="1" t="s">
        <v>38</v>
      </c>
      <c r="E47" s="1" t="s">
        <v>46</v>
      </c>
      <c r="F47" s="1" t="s">
        <v>414</v>
      </c>
      <c r="G47" s="1" t="s">
        <v>44</v>
      </c>
      <c r="H47" s="1" t="s">
        <v>43</v>
      </c>
      <c r="I47" s="41" t="str">
        <f>VLOOKUP(Tbl_PctTrabajoPlanificado[[#This Row],[Orden mantenimiento]],Data!$E$2:$H$63,2,FALSE)</f>
        <v>C81</v>
      </c>
      <c r="J47" s="41" t="str" cm="1">
        <f t="array" ref="J47">_xlfn.IFS(I47="C81","Pl.Termoelec.Chuq.",I47="C82","Pl.Dist.Energ.Elec",I47="C89","Pl.Mant.Ind.Electr",I47="CO0","Concentradora A0",I47="CO1","Concentradora A1",I47="CO2","Concentradora A2",I47="CB1","SAE Centralizado",I47="C71","Pl.Maestranza.Cent",I47="C72","Pl.Calderería.Cent",I47="C74","CONTRATOS METALMEC",I47="C40","Planif. Refinería",I47="SAPCI","SAPCI",TRUE,"Código no encontrado")</f>
        <v>Pl.Termoelec.Chuq.</v>
      </c>
      <c r="K47" s="1" t="s">
        <v>289</v>
      </c>
      <c r="L47" s="1" t="s">
        <v>290</v>
      </c>
      <c r="M47" s="1" t="s">
        <v>214</v>
      </c>
      <c r="N47" s="1" t="s">
        <v>42</v>
      </c>
      <c r="O47" s="41">
        <f>Tbl_PctTrabajoPlanificado[[#This Row],[Fecha inicio real]]-Tbl_PctTrabajoPlanificado[[#This Row],[Fecha Libera Orden]]</f>
        <v>427</v>
      </c>
      <c r="P47" s="3">
        <v>45734</v>
      </c>
      <c r="Q47" s="3">
        <v>46161</v>
      </c>
      <c r="R47" s="1" t="s">
        <v>284</v>
      </c>
      <c r="S47" s="6">
        <v>100</v>
      </c>
      <c r="T47" s="7">
        <v>5</v>
      </c>
      <c r="U47" s="7">
        <v>5</v>
      </c>
      <c r="V47" t="s">
        <v>694</v>
      </c>
    </row>
    <row r="48" spans="1:22" ht="15.75" thickBot="1" x14ac:dyDescent="0.3">
      <c r="A48" s="18" t="s">
        <v>203</v>
      </c>
      <c r="B48" s="1" t="s">
        <v>14</v>
      </c>
      <c r="C48" s="1" t="s">
        <v>37</v>
      </c>
      <c r="D48" s="1" t="s">
        <v>38</v>
      </c>
      <c r="E48" s="1" t="s">
        <v>46</v>
      </c>
      <c r="F48" s="1" t="s">
        <v>414</v>
      </c>
      <c r="G48" s="1" t="s">
        <v>44</v>
      </c>
      <c r="H48" s="1" t="s">
        <v>43</v>
      </c>
      <c r="I48" s="41" t="str">
        <f>VLOOKUP(Tbl_PctTrabajoPlanificado[[#This Row],[Orden mantenimiento]],Data!$E$2:$H$63,2,FALSE)</f>
        <v>C81</v>
      </c>
      <c r="J48" s="41" t="str" cm="1">
        <f t="array" ref="J48">_xlfn.IFS(I48="C81","Pl.Termoelec.Chuq.",I48="C82","Pl.Dist.Energ.Elec",I48="C89","Pl.Mant.Ind.Electr",I48="CO0","Concentradora A0",I48="CO1","Concentradora A1",I48="CO2","Concentradora A2",I48="CB1","SAE Centralizado",I48="C71","Pl.Maestranza.Cent",I48="C72","Pl.Calderería.Cent",I48="C74","CONTRATOS METALMEC",I48="C40","Planif. Refinería",I48="SAPCI","SAPCI",TRUE,"Código no encontrado")</f>
        <v>Pl.Termoelec.Chuq.</v>
      </c>
      <c r="K48" s="1" t="s">
        <v>289</v>
      </c>
      <c r="L48" s="1" t="s">
        <v>290</v>
      </c>
      <c r="M48" s="1" t="s">
        <v>214</v>
      </c>
      <c r="N48" s="1" t="s">
        <v>42</v>
      </c>
      <c r="O48" s="41">
        <f>Tbl_PctTrabajoPlanificado[[#This Row],[Fecha inicio real]]-Tbl_PctTrabajoPlanificado[[#This Row],[Fecha Libera Orden]]</f>
        <v>428</v>
      </c>
      <c r="P48" s="3">
        <v>45734</v>
      </c>
      <c r="Q48" s="3">
        <v>46162</v>
      </c>
      <c r="R48" s="1" t="s">
        <v>284</v>
      </c>
      <c r="S48" s="8">
        <v>100</v>
      </c>
      <c r="T48" s="9">
        <v>16</v>
      </c>
      <c r="U48" s="9">
        <v>16</v>
      </c>
      <c r="V48" t="s">
        <v>694</v>
      </c>
    </row>
    <row r="49" spans="1:22" ht="15.75" thickBot="1" x14ac:dyDescent="0.3">
      <c r="A49" s="18" t="s">
        <v>203</v>
      </c>
      <c r="B49" s="1" t="s">
        <v>14</v>
      </c>
      <c r="C49" s="1" t="s">
        <v>37</v>
      </c>
      <c r="D49" s="1" t="s">
        <v>38</v>
      </c>
      <c r="E49" s="1" t="s">
        <v>46</v>
      </c>
      <c r="F49" s="1" t="s">
        <v>414</v>
      </c>
      <c r="G49" s="1" t="s">
        <v>44</v>
      </c>
      <c r="H49" s="1" t="s">
        <v>43</v>
      </c>
      <c r="I49" s="41" t="str">
        <f>VLOOKUP(Tbl_PctTrabajoPlanificado[[#This Row],[Orden mantenimiento]],Data!$E$2:$H$63,2,FALSE)</f>
        <v>C81</v>
      </c>
      <c r="J49" s="41" t="str" cm="1">
        <f t="array" ref="J49">_xlfn.IFS(I49="C81","Pl.Termoelec.Chuq.",I49="C82","Pl.Dist.Energ.Elec",I49="C89","Pl.Mant.Ind.Electr",I49="CO0","Concentradora A0",I49="CO1","Concentradora A1",I49="CO2","Concentradora A2",I49="CB1","SAE Centralizado",I49="C71","Pl.Maestranza.Cent",I49="C72","Pl.Calderería.Cent",I49="C74","CONTRATOS METALMEC",I49="C40","Planif. Refinería",I49="SAPCI","SAPCI",TRUE,"Código no encontrado")</f>
        <v>Pl.Termoelec.Chuq.</v>
      </c>
      <c r="K49" s="1" t="s">
        <v>291</v>
      </c>
      <c r="L49" s="1" t="s">
        <v>292</v>
      </c>
      <c r="M49" s="1" t="s">
        <v>206</v>
      </c>
      <c r="N49" s="1" t="s">
        <v>42</v>
      </c>
      <c r="O49" s="41">
        <f>Tbl_PctTrabajoPlanificado[[#This Row],[Fecha inicio real]]-Tbl_PctTrabajoPlanificado[[#This Row],[Fecha Libera Orden]]</f>
        <v>374</v>
      </c>
      <c r="P49" s="3">
        <v>45789</v>
      </c>
      <c r="Q49" s="3">
        <v>46163</v>
      </c>
      <c r="R49" s="1" t="s">
        <v>284</v>
      </c>
      <c r="S49" s="6">
        <v>100</v>
      </c>
      <c r="T49" s="7">
        <v>16</v>
      </c>
      <c r="U49" s="7">
        <v>16</v>
      </c>
      <c r="V49" t="s">
        <v>694</v>
      </c>
    </row>
    <row r="50" spans="1:22" ht="15.75" thickBot="1" x14ac:dyDescent="0.3">
      <c r="A50" s="18" t="s">
        <v>203</v>
      </c>
      <c r="B50" s="1" t="s">
        <v>14</v>
      </c>
      <c r="C50" s="1" t="s">
        <v>37</v>
      </c>
      <c r="D50" s="1" t="s">
        <v>38</v>
      </c>
      <c r="E50" s="1" t="s">
        <v>46</v>
      </c>
      <c r="F50" s="1" t="s">
        <v>414</v>
      </c>
      <c r="G50" s="1" t="s">
        <v>44</v>
      </c>
      <c r="H50" s="1" t="s">
        <v>43</v>
      </c>
      <c r="I50" s="41" t="str">
        <f>VLOOKUP(Tbl_PctTrabajoPlanificado[[#This Row],[Orden mantenimiento]],Data!$E$2:$H$63,2,FALSE)</f>
        <v>C81</v>
      </c>
      <c r="J50" s="41" t="str" cm="1">
        <f t="array" ref="J50">_xlfn.IFS(I50="C81","Pl.Termoelec.Chuq.",I50="C82","Pl.Dist.Energ.Elec",I50="C89","Pl.Mant.Ind.Electr",I50="CO0","Concentradora A0",I50="CO1","Concentradora A1",I50="CO2","Concentradora A2",I50="CB1","SAE Centralizado",I50="C71","Pl.Maestranza.Cent",I50="C72","Pl.Calderería.Cent",I50="C74","CONTRATOS METALMEC",I50="C40","Planif. Refinería",I50="SAPCI","SAPCI",TRUE,"Código no encontrado")</f>
        <v>Pl.Termoelec.Chuq.</v>
      </c>
      <c r="K50" s="1" t="s">
        <v>291</v>
      </c>
      <c r="L50" s="1" t="s">
        <v>292</v>
      </c>
      <c r="M50" s="1" t="s">
        <v>214</v>
      </c>
      <c r="N50" s="1" t="s">
        <v>42</v>
      </c>
      <c r="O50" s="41">
        <f>Tbl_PctTrabajoPlanificado[[#This Row],[Fecha inicio real]]-Tbl_PctTrabajoPlanificado[[#This Row],[Fecha Libera Orden]]</f>
        <v>373</v>
      </c>
      <c r="P50" s="3">
        <v>45789</v>
      </c>
      <c r="Q50" s="3">
        <v>46162</v>
      </c>
      <c r="R50" s="1" t="s">
        <v>284</v>
      </c>
      <c r="S50" s="8">
        <v>100</v>
      </c>
      <c r="T50" s="9">
        <v>5</v>
      </c>
      <c r="U50" s="9">
        <v>5</v>
      </c>
      <c r="V50" t="s">
        <v>694</v>
      </c>
    </row>
    <row r="51" spans="1:22" ht="15.75" thickBot="1" x14ac:dyDescent="0.3">
      <c r="A51" s="18" t="s">
        <v>203</v>
      </c>
      <c r="B51" s="1" t="s">
        <v>14</v>
      </c>
      <c r="C51" s="1" t="s">
        <v>37</v>
      </c>
      <c r="D51" s="1" t="s">
        <v>38</v>
      </c>
      <c r="E51" s="1" t="s">
        <v>46</v>
      </c>
      <c r="F51" s="1" t="s">
        <v>414</v>
      </c>
      <c r="G51" s="1" t="s">
        <v>44</v>
      </c>
      <c r="H51" s="1" t="s">
        <v>43</v>
      </c>
      <c r="I51" s="41" t="str">
        <f>VLOOKUP(Tbl_PctTrabajoPlanificado[[#This Row],[Orden mantenimiento]],Data!$E$2:$H$63,2,FALSE)</f>
        <v>C81</v>
      </c>
      <c r="J51" s="41" t="str" cm="1">
        <f t="array" ref="J51">_xlfn.IFS(I51="C81","Pl.Termoelec.Chuq.",I51="C82","Pl.Dist.Energ.Elec",I51="C89","Pl.Mant.Ind.Electr",I51="CO0","Concentradora A0",I51="CO1","Concentradora A1",I51="CO2","Concentradora A2",I51="CB1","SAE Centralizado",I51="C71","Pl.Maestranza.Cent",I51="C72","Pl.Calderería.Cent",I51="C74","CONTRATOS METALMEC",I51="C40","Planif. Refinería",I51="SAPCI","SAPCI",TRUE,"Código no encontrado")</f>
        <v>Pl.Termoelec.Chuq.</v>
      </c>
      <c r="K51" s="1" t="s">
        <v>293</v>
      </c>
      <c r="L51" s="1" t="s">
        <v>294</v>
      </c>
      <c r="M51" s="1" t="s">
        <v>206</v>
      </c>
      <c r="N51" s="1" t="s">
        <v>42</v>
      </c>
      <c r="O51" s="41">
        <f>Tbl_PctTrabajoPlanificado[[#This Row],[Fecha inicio real]]-Tbl_PctTrabajoPlanificado[[#This Row],[Fecha Libera Orden]]</f>
        <v>374</v>
      </c>
      <c r="P51" s="3">
        <v>45789</v>
      </c>
      <c r="Q51" s="3">
        <v>46163</v>
      </c>
      <c r="R51" s="1" t="s">
        <v>284</v>
      </c>
      <c r="S51" s="6">
        <v>100</v>
      </c>
      <c r="T51" s="7">
        <v>8</v>
      </c>
      <c r="U51" s="7">
        <v>8</v>
      </c>
      <c r="V51" t="s">
        <v>694</v>
      </c>
    </row>
    <row r="52" spans="1:22" ht="15.75" thickBot="1" x14ac:dyDescent="0.3">
      <c r="A52" s="18" t="s">
        <v>203</v>
      </c>
      <c r="B52" s="1" t="s">
        <v>14</v>
      </c>
      <c r="C52" s="1" t="s">
        <v>37</v>
      </c>
      <c r="D52" s="1" t="s">
        <v>38</v>
      </c>
      <c r="E52" s="1" t="s">
        <v>46</v>
      </c>
      <c r="F52" s="1" t="s">
        <v>414</v>
      </c>
      <c r="G52" s="1" t="s">
        <v>44</v>
      </c>
      <c r="H52" s="1" t="s">
        <v>43</v>
      </c>
      <c r="I52" s="41" t="str">
        <f>VLOOKUP(Tbl_PctTrabajoPlanificado[[#This Row],[Orden mantenimiento]],Data!$E$2:$H$63,2,FALSE)</f>
        <v>C81</v>
      </c>
      <c r="J52" s="41" t="str" cm="1">
        <f t="array" ref="J52">_xlfn.IFS(I52="C81","Pl.Termoelec.Chuq.",I52="C82","Pl.Dist.Energ.Elec",I52="C89","Pl.Mant.Ind.Electr",I52="CO0","Concentradora A0",I52="CO1","Concentradora A1",I52="CO2","Concentradora A2",I52="CB1","SAE Centralizado",I52="C71","Pl.Maestranza.Cent",I52="C72","Pl.Calderería.Cent",I52="C74","CONTRATOS METALMEC",I52="C40","Planif. Refinería",I52="SAPCI","SAPCI",TRUE,"Código no encontrado")</f>
        <v>Pl.Termoelec.Chuq.</v>
      </c>
      <c r="K52" s="1" t="s">
        <v>293</v>
      </c>
      <c r="L52" s="1" t="s">
        <v>294</v>
      </c>
      <c r="M52" s="1" t="s">
        <v>214</v>
      </c>
      <c r="N52" s="1" t="s">
        <v>42</v>
      </c>
      <c r="O52" s="41">
        <f>Tbl_PctTrabajoPlanificado[[#This Row],[Fecha inicio real]]-Tbl_PctTrabajoPlanificado[[#This Row],[Fecha Libera Orden]]</f>
        <v>373</v>
      </c>
      <c r="P52" s="3">
        <v>45789</v>
      </c>
      <c r="Q52" s="3">
        <v>46162</v>
      </c>
      <c r="R52" s="1" t="s">
        <v>284</v>
      </c>
      <c r="S52" s="8">
        <v>100</v>
      </c>
      <c r="T52" s="9">
        <v>5</v>
      </c>
      <c r="U52" s="9">
        <v>5</v>
      </c>
      <c r="V52" t="s">
        <v>694</v>
      </c>
    </row>
    <row r="53" spans="1:22" ht="15.75" thickBot="1" x14ac:dyDescent="0.3">
      <c r="A53" s="18" t="s">
        <v>203</v>
      </c>
      <c r="B53" s="1" t="s">
        <v>14</v>
      </c>
      <c r="C53" s="1" t="s">
        <v>37</v>
      </c>
      <c r="D53" s="1" t="s">
        <v>38</v>
      </c>
      <c r="E53" s="1" t="s">
        <v>46</v>
      </c>
      <c r="F53" s="1" t="s">
        <v>414</v>
      </c>
      <c r="G53" s="1" t="s">
        <v>44</v>
      </c>
      <c r="H53" s="1" t="s">
        <v>43</v>
      </c>
      <c r="I53" s="41" t="str">
        <f>VLOOKUP(Tbl_PctTrabajoPlanificado[[#This Row],[Orden mantenimiento]],Data!$E$2:$H$63,2,FALSE)</f>
        <v>C81</v>
      </c>
      <c r="J53" s="41" t="str" cm="1">
        <f t="array" ref="J53">_xlfn.IFS(I53="C81","Pl.Termoelec.Chuq.",I53="C82","Pl.Dist.Energ.Elec",I53="C89","Pl.Mant.Ind.Electr",I53="CO0","Concentradora A0",I53="CO1","Concentradora A1",I53="CO2","Concentradora A2",I53="CB1","SAE Centralizado",I53="C71","Pl.Maestranza.Cent",I53="C72","Pl.Calderería.Cent",I53="C74","CONTRATOS METALMEC",I53="C40","Planif. Refinería",I53="SAPCI","SAPCI",TRUE,"Código no encontrado")</f>
        <v>Pl.Termoelec.Chuq.</v>
      </c>
      <c r="K53" s="1" t="s">
        <v>295</v>
      </c>
      <c r="L53" s="1" t="s">
        <v>296</v>
      </c>
      <c r="M53" s="1" t="s">
        <v>206</v>
      </c>
      <c r="N53" s="1" t="s">
        <v>42</v>
      </c>
      <c r="O53" s="41">
        <f>Tbl_PctTrabajoPlanificado[[#This Row],[Fecha inicio real]]-Tbl_PctTrabajoPlanificado[[#This Row],[Fecha Libera Orden]]</f>
        <v>169</v>
      </c>
      <c r="P53" s="3">
        <v>45993</v>
      </c>
      <c r="Q53" s="3">
        <v>46162</v>
      </c>
      <c r="R53" s="1" t="s">
        <v>284</v>
      </c>
      <c r="S53" s="6">
        <v>100</v>
      </c>
      <c r="T53" s="7">
        <v>10</v>
      </c>
      <c r="U53" s="7">
        <v>10</v>
      </c>
      <c r="V53" t="s">
        <v>694</v>
      </c>
    </row>
    <row r="54" spans="1:22" ht="15.75" thickBot="1" x14ac:dyDescent="0.3">
      <c r="A54" s="18" t="s">
        <v>203</v>
      </c>
      <c r="B54" s="1" t="s">
        <v>14</v>
      </c>
      <c r="C54" s="1" t="s">
        <v>37</v>
      </c>
      <c r="D54" s="1" t="s">
        <v>38</v>
      </c>
      <c r="E54" s="1" t="s">
        <v>46</v>
      </c>
      <c r="F54" s="1" t="s">
        <v>414</v>
      </c>
      <c r="G54" s="1" t="s">
        <v>44</v>
      </c>
      <c r="H54" s="1" t="s">
        <v>43</v>
      </c>
      <c r="I54" s="41" t="str">
        <f>VLOOKUP(Tbl_PctTrabajoPlanificado[[#This Row],[Orden mantenimiento]],Data!$E$2:$H$63,2,FALSE)</f>
        <v>C81</v>
      </c>
      <c r="J54" s="41" t="str" cm="1">
        <f t="array" ref="J54">_xlfn.IFS(I54="C81","Pl.Termoelec.Chuq.",I54="C82","Pl.Dist.Energ.Elec",I54="C89","Pl.Mant.Ind.Electr",I54="CO0","Concentradora A0",I54="CO1","Concentradora A1",I54="CO2","Concentradora A2",I54="CB1","SAE Centralizado",I54="C71","Pl.Maestranza.Cent",I54="C72","Pl.Calderería.Cent",I54="C74","CONTRATOS METALMEC",I54="C40","Planif. Refinería",I54="SAPCI","SAPCI",TRUE,"Código no encontrado")</f>
        <v>Pl.Termoelec.Chuq.</v>
      </c>
      <c r="K54" s="1" t="s">
        <v>297</v>
      </c>
      <c r="L54" s="1" t="s">
        <v>298</v>
      </c>
      <c r="M54" s="1" t="s">
        <v>206</v>
      </c>
      <c r="N54" s="1" t="s">
        <v>42</v>
      </c>
      <c r="O54" s="41">
        <f>Tbl_PctTrabajoPlanificado[[#This Row],[Fecha inicio real]]-Tbl_PctTrabajoPlanificado[[#This Row],[Fecha Libera Orden]]</f>
        <v>171</v>
      </c>
      <c r="P54" s="3">
        <v>45993</v>
      </c>
      <c r="Q54" s="3">
        <v>46164</v>
      </c>
      <c r="R54" s="1" t="s">
        <v>284</v>
      </c>
      <c r="S54" s="8">
        <v>100</v>
      </c>
      <c r="T54" s="9">
        <v>9</v>
      </c>
      <c r="U54" s="9">
        <v>9</v>
      </c>
      <c r="V54" t="s">
        <v>694</v>
      </c>
    </row>
    <row r="55" spans="1:22" ht="15.75" thickBot="1" x14ac:dyDescent="0.3">
      <c r="A55" s="18" t="s">
        <v>203</v>
      </c>
      <c r="B55" s="1" t="s">
        <v>14</v>
      </c>
      <c r="C55" s="1" t="s">
        <v>37</v>
      </c>
      <c r="D55" s="1" t="s">
        <v>38</v>
      </c>
      <c r="E55" s="1" t="s">
        <v>46</v>
      </c>
      <c r="F55" s="1" t="s">
        <v>414</v>
      </c>
      <c r="G55" s="1" t="s">
        <v>44</v>
      </c>
      <c r="H55" s="1" t="s">
        <v>43</v>
      </c>
      <c r="I55" s="41" t="str">
        <f>VLOOKUP(Tbl_PctTrabajoPlanificado[[#This Row],[Orden mantenimiento]],Data!$E$2:$H$63,2,FALSE)</f>
        <v>C81</v>
      </c>
      <c r="J55" s="41" t="str" cm="1">
        <f t="array" ref="J55">_xlfn.IFS(I55="C81","Pl.Termoelec.Chuq.",I55="C82","Pl.Dist.Energ.Elec",I55="C89","Pl.Mant.Ind.Electr",I55="CO0","Concentradora A0",I55="CO1","Concentradora A1",I55="CO2","Concentradora A2",I55="CB1","SAE Centralizado",I55="C71","Pl.Maestranza.Cent",I55="C72","Pl.Calderería.Cent",I55="C74","CONTRATOS METALMEC",I55="C40","Planif. Refinería",I55="SAPCI","SAPCI",TRUE,"Código no encontrado")</f>
        <v>Pl.Termoelec.Chuq.</v>
      </c>
      <c r="K55" s="1" t="s">
        <v>297</v>
      </c>
      <c r="L55" s="1" t="s">
        <v>298</v>
      </c>
      <c r="M55" s="1" t="s">
        <v>214</v>
      </c>
      <c r="N55" s="1" t="s">
        <v>42</v>
      </c>
      <c r="O55" s="41">
        <f>Tbl_PctTrabajoPlanificado[[#This Row],[Fecha inicio real]]-Tbl_PctTrabajoPlanificado[[#This Row],[Fecha Libera Orden]]</f>
        <v>170</v>
      </c>
      <c r="P55" s="3">
        <v>45993</v>
      </c>
      <c r="Q55" s="3">
        <v>46163</v>
      </c>
      <c r="R55" s="1" t="s">
        <v>284</v>
      </c>
      <c r="S55" s="6">
        <v>100</v>
      </c>
      <c r="T55" s="7">
        <v>1</v>
      </c>
      <c r="U55" s="7">
        <v>1</v>
      </c>
      <c r="V55" t="s">
        <v>694</v>
      </c>
    </row>
    <row r="56" spans="1:22" ht="15.75" thickBot="1" x14ac:dyDescent="0.3">
      <c r="A56" s="18" t="s">
        <v>203</v>
      </c>
      <c r="B56" s="1" t="s">
        <v>14</v>
      </c>
      <c r="C56" s="1" t="s">
        <v>37</v>
      </c>
      <c r="D56" s="1" t="s">
        <v>38</v>
      </c>
      <c r="E56" s="1" t="s">
        <v>46</v>
      </c>
      <c r="F56" s="1" t="s">
        <v>414</v>
      </c>
      <c r="G56" s="1" t="s">
        <v>44</v>
      </c>
      <c r="H56" s="1" t="s">
        <v>43</v>
      </c>
      <c r="I56" s="41" t="str">
        <f>VLOOKUP(Tbl_PctTrabajoPlanificado[[#This Row],[Orden mantenimiento]],Data!$E$2:$H$63,2,FALSE)</f>
        <v>C81</v>
      </c>
      <c r="J56" s="41" t="str" cm="1">
        <f t="array" ref="J56">_xlfn.IFS(I56="C81","Pl.Termoelec.Chuq.",I56="C82","Pl.Dist.Energ.Elec",I56="C89","Pl.Mant.Ind.Electr",I56="CO0","Concentradora A0",I56="CO1","Concentradora A1",I56="CO2","Concentradora A2",I56="CB1","SAE Centralizado",I56="C71","Pl.Maestranza.Cent",I56="C72","Pl.Calderería.Cent",I56="C74","CONTRATOS METALMEC",I56="C40","Planif. Refinería",I56="SAPCI","SAPCI",TRUE,"Código no encontrado")</f>
        <v>Pl.Termoelec.Chuq.</v>
      </c>
      <c r="K56" s="1" t="s">
        <v>299</v>
      </c>
      <c r="L56" s="1" t="s">
        <v>300</v>
      </c>
      <c r="M56" s="1" t="s">
        <v>206</v>
      </c>
      <c r="N56" s="1" t="s">
        <v>42</v>
      </c>
      <c r="O56" s="41">
        <f>Tbl_PctTrabajoPlanificado[[#This Row],[Fecha inicio real]]-Tbl_PctTrabajoPlanificado[[#This Row],[Fecha Libera Orden]]</f>
        <v>170</v>
      </c>
      <c r="P56" s="3">
        <v>45993</v>
      </c>
      <c r="Q56" s="3">
        <v>46163</v>
      </c>
      <c r="R56" s="1" t="s">
        <v>284</v>
      </c>
      <c r="S56" s="8">
        <v>100</v>
      </c>
      <c r="T56" s="9">
        <v>9</v>
      </c>
      <c r="U56" s="9">
        <v>9</v>
      </c>
      <c r="V56" t="s">
        <v>694</v>
      </c>
    </row>
    <row r="57" spans="1:22" ht="15.75" thickBot="1" x14ac:dyDescent="0.3">
      <c r="A57" s="18" t="s">
        <v>203</v>
      </c>
      <c r="B57" s="1" t="s">
        <v>14</v>
      </c>
      <c r="C57" s="1" t="s">
        <v>37</v>
      </c>
      <c r="D57" s="1" t="s">
        <v>38</v>
      </c>
      <c r="E57" s="1" t="s">
        <v>46</v>
      </c>
      <c r="F57" s="1" t="s">
        <v>414</v>
      </c>
      <c r="G57" s="1" t="s">
        <v>44</v>
      </c>
      <c r="H57" s="1" t="s">
        <v>43</v>
      </c>
      <c r="I57" s="41" t="str">
        <f>VLOOKUP(Tbl_PctTrabajoPlanificado[[#This Row],[Orden mantenimiento]],Data!$E$2:$H$63,2,FALSE)</f>
        <v>C81</v>
      </c>
      <c r="J57" s="41" t="str" cm="1">
        <f t="array" ref="J57">_xlfn.IFS(I57="C81","Pl.Termoelec.Chuq.",I57="C82","Pl.Dist.Energ.Elec",I57="C89","Pl.Mant.Ind.Electr",I57="CO0","Concentradora A0",I57="CO1","Concentradora A1",I57="CO2","Concentradora A2",I57="CB1","SAE Centralizado",I57="C71","Pl.Maestranza.Cent",I57="C72","Pl.Calderería.Cent",I57="C74","CONTRATOS METALMEC",I57="C40","Planif. Refinería",I57="SAPCI","SAPCI",TRUE,"Código no encontrado")</f>
        <v>Pl.Termoelec.Chuq.</v>
      </c>
      <c r="K57" s="1" t="s">
        <v>299</v>
      </c>
      <c r="L57" s="1" t="s">
        <v>300</v>
      </c>
      <c r="M57" s="1" t="s">
        <v>214</v>
      </c>
      <c r="N57" s="1" t="s">
        <v>42</v>
      </c>
      <c r="O57" s="41">
        <f>Tbl_PctTrabajoPlanificado[[#This Row],[Fecha inicio real]]-Tbl_PctTrabajoPlanificado[[#This Row],[Fecha Libera Orden]]</f>
        <v>170</v>
      </c>
      <c r="P57" s="3">
        <v>45993</v>
      </c>
      <c r="Q57" s="3">
        <v>46163</v>
      </c>
      <c r="R57" s="1" t="s">
        <v>284</v>
      </c>
      <c r="S57" s="6">
        <v>100</v>
      </c>
      <c r="T57" s="7">
        <v>1</v>
      </c>
      <c r="U57" s="7">
        <v>1</v>
      </c>
      <c r="V57" t="s">
        <v>694</v>
      </c>
    </row>
    <row r="58" spans="1:22" ht="15.75" thickBot="1" x14ac:dyDescent="0.3">
      <c r="A58" s="18" t="s">
        <v>203</v>
      </c>
      <c r="B58" s="1" t="s">
        <v>14</v>
      </c>
      <c r="C58" s="1" t="s">
        <v>37</v>
      </c>
      <c r="D58" s="1" t="s">
        <v>38</v>
      </c>
      <c r="E58" s="1" t="s">
        <v>46</v>
      </c>
      <c r="F58" s="1" t="s">
        <v>414</v>
      </c>
      <c r="G58" s="1" t="s">
        <v>44</v>
      </c>
      <c r="H58" s="1" t="s">
        <v>43</v>
      </c>
      <c r="I58" s="41" t="str">
        <f>VLOOKUP(Tbl_PctTrabajoPlanificado[[#This Row],[Orden mantenimiento]],Data!$E$2:$H$63,2,FALSE)</f>
        <v>C81</v>
      </c>
      <c r="J58" s="41" t="str" cm="1">
        <f t="array" ref="J58">_xlfn.IFS(I58="C81","Pl.Termoelec.Chuq.",I58="C82","Pl.Dist.Energ.Elec",I58="C89","Pl.Mant.Ind.Electr",I58="CO0","Concentradora A0",I58="CO1","Concentradora A1",I58="CO2","Concentradora A2",I58="CB1","SAE Centralizado",I58="C71","Pl.Maestranza.Cent",I58="C72","Pl.Calderería.Cent",I58="C74","CONTRATOS METALMEC",I58="C40","Planif. Refinería",I58="SAPCI","SAPCI",TRUE,"Código no encontrado")</f>
        <v>Pl.Termoelec.Chuq.</v>
      </c>
      <c r="K58" s="1" t="s">
        <v>301</v>
      </c>
      <c r="L58" s="1" t="s">
        <v>302</v>
      </c>
      <c r="M58" s="1" t="s">
        <v>214</v>
      </c>
      <c r="N58" s="1" t="s">
        <v>42</v>
      </c>
      <c r="O58" s="41">
        <f>Tbl_PctTrabajoPlanificado[[#This Row],[Fecha inicio real]]-Tbl_PctTrabajoPlanificado[[#This Row],[Fecha Libera Orden]]</f>
        <v>18</v>
      </c>
      <c r="P58" s="3">
        <v>46145</v>
      </c>
      <c r="Q58" s="3">
        <v>46163</v>
      </c>
      <c r="R58" s="1" t="s">
        <v>284</v>
      </c>
      <c r="S58" s="8">
        <v>100</v>
      </c>
      <c r="T58" s="9">
        <v>2</v>
      </c>
      <c r="U58" s="9">
        <v>2</v>
      </c>
      <c r="V58" t="s">
        <v>694</v>
      </c>
    </row>
    <row r="59" spans="1:22" ht="15.75" thickBot="1" x14ac:dyDescent="0.3">
      <c r="A59" s="18" t="s">
        <v>203</v>
      </c>
      <c r="B59" s="1" t="s">
        <v>14</v>
      </c>
      <c r="C59" s="1" t="s">
        <v>37</v>
      </c>
      <c r="D59" s="1" t="s">
        <v>38</v>
      </c>
      <c r="E59" s="1" t="s">
        <v>46</v>
      </c>
      <c r="F59" s="1" t="s">
        <v>414</v>
      </c>
      <c r="G59" s="1" t="s">
        <v>44</v>
      </c>
      <c r="H59" s="1" t="s">
        <v>43</v>
      </c>
      <c r="I59" s="41" t="str">
        <f>VLOOKUP(Tbl_PctTrabajoPlanificado[[#This Row],[Orden mantenimiento]],Data!$E$2:$H$63,2,FALSE)</f>
        <v>C81</v>
      </c>
      <c r="J59" s="41" t="str" cm="1">
        <f t="array" ref="J59">_xlfn.IFS(I59="C81","Pl.Termoelec.Chuq.",I59="C82","Pl.Dist.Energ.Elec",I59="C89","Pl.Mant.Ind.Electr",I59="CO0","Concentradora A0",I59="CO1","Concentradora A1",I59="CO2","Concentradora A2",I59="CB1","SAE Centralizado",I59="C71","Pl.Maestranza.Cent",I59="C72","Pl.Calderería.Cent",I59="C74","CONTRATOS METALMEC",I59="C40","Planif. Refinería",I59="SAPCI","SAPCI",TRUE,"Código no encontrado")</f>
        <v>Pl.Termoelec.Chuq.</v>
      </c>
      <c r="K59" s="1" t="s">
        <v>301</v>
      </c>
      <c r="L59" s="1" t="s">
        <v>302</v>
      </c>
      <c r="M59" s="1" t="s">
        <v>214</v>
      </c>
      <c r="N59" s="1" t="s">
        <v>42</v>
      </c>
      <c r="O59" s="41">
        <f>Tbl_PctTrabajoPlanificado[[#This Row],[Fecha inicio real]]-Tbl_PctTrabajoPlanificado[[#This Row],[Fecha Libera Orden]]</f>
        <v>19</v>
      </c>
      <c r="P59" s="3">
        <v>46145</v>
      </c>
      <c r="Q59" s="3">
        <v>46164</v>
      </c>
      <c r="R59" s="1" t="s">
        <v>284</v>
      </c>
      <c r="S59" s="6">
        <v>100</v>
      </c>
      <c r="T59" s="7">
        <v>14</v>
      </c>
      <c r="U59" s="7">
        <v>14</v>
      </c>
      <c r="V59" t="s">
        <v>694</v>
      </c>
    </row>
    <row r="60" spans="1:22" ht="15.75" thickBot="1" x14ac:dyDescent="0.3">
      <c r="A60" s="18" t="s">
        <v>203</v>
      </c>
      <c r="B60" s="1" t="s">
        <v>14</v>
      </c>
      <c r="C60" s="1" t="s">
        <v>37</v>
      </c>
      <c r="D60" s="1" t="s">
        <v>38</v>
      </c>
      <c r="E60" s="1" t="s">
        <v>46</v>
      </c>
      <c r="F60" s="1" t="s">
        <v>414</v>
      </c>
      <c r="G60" s="1" t="s">
        <v>44</v>
      </c>
      <c r="H60" s="1" t="s">
        <v>43</v>
      </c>
      <c r="I60" s="41" t="str">
        <f>VLOOKUP(Tbl_PctTrabajoPlanificado[[#This Row],[Orden mantenimiento]],Data!$E$2:$H$63,2,FALSE)</f>
        <v>C81</v>
      </c>
      <c r="J60" s="41" t="str" cm="1">
        <f t="array" ref="J60">_xlfn.IFS(I60="C81","Pl.Termoelec.Chuq.",I60="C82","Pl.Dist.Energ.Elec",I60="C89","Pl.Mant.Ind.Electr",I60="CO0","Concentradora A0",I60="CO1","Concentradora A1",I60="CO2","Concentradora A2",I60="CB1","SAE Centralizado",I60="C71","Pl.Maestranza.Cent",I60="C72","Pl.Calderería.Cent",I60="C74","CONTRATOS METALMEC",I60="C40","Planif. Refinería",I60="SAPCI","SAPCI",TRUE,"Código no encontrado")</f>
        <v>Pl.Termoelec.Chuq.</v>
      </c>
      <c r="K60" s="1" t="s">
        <v>301</v>
      </c>
      <c r="L60" s="1" t="s">
        <v>302</v>
      </c>
      <c r="M60" s="1" t="s">
        <v>214</v>
      </c>
      <c r="N60" s="1" t="s">
        <v>42</v>
      </c>
      <c r="O60" s="41">
        <f>Tbl_PctTrabajoPlanificado[[#This Row],[Fecha inicio real]]-Tbl_PctTrabajoPlanificado[[#This Row],[Fecha Libera Orden]]</f>
        <v>20</v>
      </c>
      <c r="P60" s="3">
        <v>46145</v>
      </c>
      <c r="Q60" s="3">
        <v>46165</v>
      </c>
      <c r="R60" s="1" t="s">
        <v>284</v>
      </c>
      <c r="S60" s="8">
        <v>100</v>
      </c>
      <c r="T60" s="9">
        <v>4</v>
      </c>
      <c r="U60" s="9">
        <v>4</v>
      </c>
      <c r="V60" t="s">
        <v>694</v>
      </c>
    </row>
    <row r="61" spans="1:22" ht="15.75" thickBot="1" x14ac:dyDescent="0.3">
      <c r="A61" s="18" t="s">
        <v>203</v>
      </c>
      <c r="B61" s="1" t="s">
        <v>14</v>
      </c>
      <c r="C61" s="1" t="s">
        <v>37</v>
      </c>
      <c r="D61" s="1" t="s">
        <v>38</v>
      </c>
      <c r="E61" s="1" t="s">
        <v>46</v>
      </c>
      <c r="F61" s="1" t="s">
        <v>414</v>
      </c>
      <c r="G61" s="1" t="s">
        <v>44</v>
      </c>
      <c r="H61" s="1" t="s">
        <v>43</v>
      </c>
      <c r="I61" s="41" t="str">
        <f>VLOOKUP(Tbl_PctTrabajoPlanificado[[#This Row],[Orden mantenimiento]],Data!$E$2:$H$63,2,FALSE)</f>
        <v>C81</v>
      </c>
      <c r="J61" s="41" t="str" cm="1">
        <f t="array" ref="J61">_xlfn.IFS(I61="C81","Pl.Termoelec.Chuq.",I61="C82","Pl.Dist.Energ.Elec",I61="C89","Pl.Mant.Ind.Electr",I61="CO0","Concentradora A0",I61="CO1","Concentradora A1",I61="CO2","Concentradora A2",I61="CB1","SAE Centralizado",I61="C71","Pl.Maestranza.Cent",I61="C72","Pl.Calderería.Cent",I61="C74","CONTRATOS METALMEC",I61="C40","Planif. Refinería",I61="SAPCI","SAPCI",TRUE,"Código no encontrado")</f>
        <v>Pl.Termoelec.Chuq.</v>
      </c>
      <c r="K61" s="1" t="s">
        <v>303</v>
      </c>
      <c r="L61" s="1" t="s">
        <v>304</v>
      </c>
      <c r="M61" s="1" t="s">
        <v>305</v>
      </c>
      <c r="N61" s="1" t="s">
        <v>42</v>
      </c>
      <c r="O61" s="41">
        <f>Tbl_PctTrabajoPlanificado[[#This Row],[Fecha inicio real]]-Tbl_PctTrabajoPlanificado[[#This Row],[Fecha Libera Orden]]</f>
        <v>9</v>
      </c>
      <c r="P61" s="3">
        <v>46151</v>
      </c>
      <c r="Q61" s="3">
        <v>46160</v>
      </c>
      <c r="R61" s="1" t="s">
        <v>284</v>
      </c>
      <c r="S61" s="6">
        <v>100</v>
      </c>
      <c r="T61" s="7">
        <v>9</v>
      </c>
      <c r="U61" s="7">
        <v>9</v>
      </c>
      <c r="V61" t="s">
        <v>694</v>
      </c>
    </row>
    <row r="62" spans="1:22" ht="15.75" thickBot="1" x14ac:dyDescent="0.3">
      <c r="A62" s="18" t="s">
        <v>203</v>
      </c>
      <c r="B62" s="1" t="s">
        <v>14</v>
      </c>
      <c r="C62" s="1" t="s">
        <v>37</v>
      </c>
      <c r="D62" s="1" t="s">
        <v>38</v>
      </c>
      <c r="E62" s="1" t="s">
        <v>46</v>
      </c>
      <c r="F62" s="1" t="s">
        <v>414</v>
      </c>
      <c r="G62" s="1" t="s">
        <v>44</v>
      </c>
      <c r="H62" s="1" t="s">
        <v>43</v>
      </c>
      <c r="I62" s="41" t="str">
        <f>VLOOKUP(Tbl_PctTrabajoPlanificado[[#This Row],[Orden mantenimiento]],Data!$E$2:$H$63,2,FALSE)</f>
        <v>C81</v>
      </c>
      <c r="J62" s="41" t="str" cm="1">
        <f t="array" ref="J62">_xlfn.IFS(I62="C81","Pl.Termoelec.Chuq.",I62="C82","Pl.Dist.Energ.Elec",I62="C89","Pl.Mant.Ind.Electr",I62="CO0","Concentradora A0",I62="CO1","Concentradora A1",I62="CO2","Concentradora A2",I62="CB1","SAE Centralizado",I62="C71","Pl.Maestranza.Cent",I62="C72","Pl.Calderería.Cent",I62="C74","CONTRATOS METALMEC",I62="C40","Planif. Refinería",I62="SAPCI","SAPCI",TRUE,"Código no encontrado")</f>
        <v>Pl.Termoelec.Chuq.</v>
      </c>
      <c r="K62" s="1" t="s">
        <v>303</v>
      </c>
      <c r="L62" s="1" t="s">
        <v>304</v>
      </c>
      <c r="M62" s="1" t="s">
        <v>305</v>
      </c>
      <c r="N62" s="1" t="s">
        <v>42</v>
      </c>
      <c r="O62" s="41">
        <f>Tbl_PctTrabajoPlanificado[[#This Row],[Fecha inicio real]]-Tbl_PctTrabajoPlanificado[[#This Row],[Fecha Libera Orden]]</f>
        <v>10</v>
      </c>
      <c r="P62" s="3">
        <v>46151</v>
      </c>
      <c r="Q62" s="3">
        <v>46161</v>
      </c>
      <c r="R62" s="1" t="s">
        <v>284</v>
      </c>
      <c r="S62" s="8">
        <v>100</v>
      </c>
      <c r="T62" s="9">
        <v>31.5</v>
      </c>
      <c r="U62" s="9">
        <v>31.5</v>
      </c>
      <c r="V62" t="s">
        <v>694</v>
      </c>
    </row>
    <row r="63" spans="1:22" ht="15.75" thickBot="1" x14ac:dyDescent="0.3">
      <c r="A63" s="18" t="s">
        <v>203</v>
      </c>
      <c r="B63" s="1" t="s">
        <v>14</v>
      </c>
      <c r="C63" s="1" t="s">
        <v>37</v>
      </c>
      <c r="D63" s="1" t="s">
        <v>38</v>
      </c>
      <c r="E63" s="1" t="s">
        <v>46</v>
      </c>
      <c r="F63" s="1" t="s">
        <v>414</v>
      </c>
      <c r="G63" s="1" t="s">
        <v>44</v>
      </c>
      <c r="H63" s="1" t="s">
        <v>43</v>
      </c>
      <c r="I63" s="41" t="str">
        <f>VLOOKUP(Tbl_PctTrabajoPlanificado[[#This Row],[Orden mantenimiento]],Data!$E$2:$H$63,2,FALSE)</f>
        <v>C81</v>
      </c>
      <c r="J63" s="41" t="str" cm="1">
        <f t="array" ref="J63">_xlfn.IFS(I63="C81","Pl.Termoelec.Chuq.",I63="C82","Pl.Dist.Energ.Elec",I63="C89","Pl.Mant.Ind.Electr",I63="CO0","Concentradora A0",I63="CO1","Concentradora A1",I63="CO2","Concentradora A2",I63="CB1","SAE Centralizado",I63="C71","Pl.Maestranza.Cent",I63="C72","Pl.Calderería.Cent",I63="C74","CONTRATOS METALMEC",I63="C40","Planif. Refinería",I63="SAPCI","SAPCI",TRUE,"Código no encontrado")</f>
        <v>Pl.Termoelec.Chuq.</v>
      </c>
      <c r="K63" s="1" t="s">
        <v>303</v>
      </c>
      <c r="L63" s="1" t="s">
        <v>304</v>
      </c>
      <c r="M63" s="1" t="s">
        <v>305</v>
      </c>
      <c r="N63" s="1" t="s">
        <v>42</v>
      </c>
      <c r="O63" s="41">
        <f>Tbl_PctTrabajoPlanificado[[#This Row],[Fecha inicio real]]-Tbl_PctTrabajoPlanificado[[#This Row],[Fecha Libera Orden]]</f>
        <v>11</v>
      </c>
      <c r="P63" s="3">
        <v>46151</v>
      </c>
      <c r="Q63" s="3">
        <v>46162</v>
      </c>
      <c r="R63" s="1" t="s">
        <v>284</v>
      </c>
      <c r="S63" s="6">
        <v>100</v>
      </c>
      <c r="T63" s="7">
        <v>21</v>
      </c>
      <c r="U63" s="7">
        <v>21</v>
      </c>
      <c r="V63" t="s">
        <v>694</v>
      </c>
    </row>
    <row r="64" spans="1:22" ht="15.75" thickBot="1" x14ac:dyDescent="0.3">
      <c r="A64" s="18" t="s">
        <v>203</v>
      </c>
      <c r="B64" s="1" t="s">
        <v>14</v>
      </c>
      <c r="C64" s="1" t="s">
        <v>37</v>
      </c>
      <c r="D64" s="1" t="s">
        <v>38</v>
      </c>
      <c r="E64" s="1" t="s">
        <v>46</v>
      </c>
      <c r="F64" s="1" t="s">
        <v>414</v>
      </c>
      <c r="G64" s="1" t="s">
        <v>44</v>
      </c>
      <c r="H64" s="1" t="s">
        <v>43</v>
      </c>
      <c r="I64" s="41" t="str">
        <f>VLOOKUP(Tbl_PctTrabajoPlanificado[[#This Row],[Orden mantenimiento]],Data!$E$2:$H$63,2,FALSE)</f>
        <v>C81</v>
      </c>
      <c r="J64" s="41" t="str" cm="1">
        <f t="array" ref="J64">_xlfn.IFS(I64="C81","Pl.Termoelec.Chuq.",I64="C82","Pl.Dist.Energ.Elec",I64="C89","Pl.Mant.Ind.Electr",I64="CO0","Concentradora A0",I64="CO1","Concentradora A1",I64="CO2","Concentradora A2",I64="CB1","SAE Centralizado",I64="C71","Pl.Maestranza.Cent",I64="C72","Pl.Calderería.Cent",I64="C74","CONTRATOS METALMEC",I64="C40","Planif. Refinería",I64="SAPCI","SAPCI",TRUE,"Código no encontrado")</f>
        <v>Pl.Termoelec.Chuq.</v>
      </c>
      <c r="K64" s="1" t="s">
        <v>306</v>
      </c>
      <c r="L64" s="1" t="s">
        <v>307</v>
      </c>
      <c r="M64" s="1" t="s">
        <v>206</v>
      </c>
      <c r="N64" s="1" t="s">
        <v>42</v>
      </c>
      <c r="O64" s="41">
        <f>Tbl_PctTrabajoPlanificado[[#This Row],[Fecha inicio real]]-Tbl_PctTrabajoPlanificado[[#This Row],[Fecha Libera Orden]]</f>
        <v>14</v>
      </c>
      <c r="P64" s="3">
        <v>46151</v>
      </c>
      <c r="Q64" s="3">
        <v>46165</v>
      </c>
      <c r="R64" s="1" t="s">
        <v>284</v>
      </c>
      <c r="S64" s="8">
        <v>100</v>
      </c>
      <c r="T64" s="9">
        <v>42.2</v>
      </c>
      <c r="U64" s="9">
        <v>42.2</v>
      </c>
      <c r="V64" t="s">
        <v>694</v>
      </c>
    </row>
    <row r="65" spans="1:22" ht="15.75" thickBot="1" x14ac:dyDescent="0.3">
      <c r="A65" s="18" t="s">
        <v>203</v>
      </c>
      <c r="B65" s="1" t="s">
        <v>14</v>
      </c>
      <c r="C65" s="1" t="s">
        <v>37</v>
      </c>
      <c r="D65" s="1" t="s">
        <v>38</v>
      </c>
      <c r="E65" s="1" t="s">
        <v>46</v>
      </c>
      <c r="F65" s="1" t="s">
        <v>414</v>
      </c>
      <c r="G65" s="1" t="s">
        <v>44</v>
      </c>
      <c r="H65" s="1" t="s">
        <v>43</v>
      </c>
      <c r="I65" s="41" t="str">
        <f>VLOOKUP(Tbl_PctTrabajoPlanificado[[#This Row],[Orden mantenimiento]],Data!$E$2:$H$63,2,FALSE)</f>
        <v>C81</v>
      </c>
      <c r="J65" s="41" t="str" cm="1">
        <f t="array" ref="J65">_xlfn.IFS(I65="C81","Pl.Termoelec.Chuq.",I65="C82","Pl.Dist.Energ.Elec",I65="C89","Pl.Mant.Ind.Electr",I65="CO0","Concentradora A0",I65="CO1","Concentradora A1",I65="CO2","Concentradora A2",I65="CB1","SAE Centralizado",I65="C71","Pl.Maestranza.Cent",I65="C72","Pl.Calderería.Cent",I65="C74","CONTRATOS METALMEC",I65="C40","Planif. Refinería",I65="SAPCI","SAPCI",TRUE,"Código no encontrado")</f>
        <v>Pl.Termoelec.Chuq.</v>
      </c>
      <c r="K65" s="1" t="s">
        <v>306</v>
      </c>
      <c r="L65" s="1" t="s">
        <v>307</v>
      </c>
      <c r="M65" s="1" t="s">
        <v>206</v>
      </c>
      <c r="N65" s="1" t="s">
        <v>42</v>
      </c>
      <c r="O65" s="41">
        <f>Tbl_PctTrabajoPlanificado[[#This Row],[Fecha inicio real]]-Tbl_PctTrabajoPlanificado[[#This Row],[Fecha Libera Orden]]</f>
        <v>15</v>
      </c>
      <c r="P65" s="3">
        <v>46151</v>
      </c>
      <c r="Q65" s="3">
        <v>46166</v>
      </c>
      <c r="R65" s="1" t="s">
        <v>284</v>
      </c>
      <c r="S65" s="6">
        <v>100</v>
      </c>
      <c r="T65" s="7">
        <v>15</v>
      </c>
      <c r="U65" s="7">
        <v>15</v>
      </c>
      <c r="V65" t="s">
        <v>694</v>
      </c>
    </row>
    <row r="66" spans="1:22" ht="15.75" thickBot="1" x14ac:dyDescent="0.3">
      <c r="A66" s="18" t="s">
        <v>203</v>
      </c>
      <c r="B66" s="1" t="s">
        <v>14</v>
      </c>
      <c r="C66" s="1" t="s">
        <v>37</v>
      </c>
      <c r="D66" s="1" t="s">
        <v>38</v>
      </c>
      <c r="E66" s="1" t="s">
        <v>46</v>
      </c>
      <c r="F66" s="1" t="s">
        <v>414</v>
      </c>
      <c r="G66" s="1" t="s">
        <v>44</v>
      </c>
      <c r="H66" s="1" t="s">
        <v>43</v>
      </c>
      <c r="I66" s="41" t="str">
        <f>VLOOKUP(Tbl_PctTrabajoPlanificado[[#This Row],[Orden mantenimiento]],Data!$E$2:$H$63,2,FALSE)</f>
        <v>C81</v>
      </c>
      <c r="J66" s="41" t="str" cm="1">
        <f t="array" ref="J66">_xlfn.IFS(I66="C81","Pl.Termoelec.Chuq.",I66="C82","Pl.Dist.Energ.Elec",I66="C89","Pl.Mant.Ind.Electr",I66="CO0","Concentradora A0",I66="CO1","Concentradora A1",I66="CO2","Concentradora A2",I66="CB1","SAE Centralizado",I66="C71","Pl.Maestranza.Cent",I66="C72","Pl.Calderería.Cent",I66="C74","CONTRATOS METALMEC",I66="C40","Planif. Refinería",I66="SAPCI","SAPCI",TRUE,"Código no encontrado")</f>
        <v>Pl.Termoelec.Chuq.</v>
      </c>
      <c r="K66" s="1" t="s">
        <v>308</v>
      </c>
      <c r="L66" s="1" t="s">
        <v>309</v>
      </c>
      <c r="M66" s="1" t="s">
        <v>206</v>
      </c>
      <c r="N66" s="1" t="s">
        <v>42</v>
      </c>
      <c r="O66" s="41">
        <f>Tbl_PctTrabajoPlanificado[[#This Row],[Fecha inicio real]]-Tbl_PctTrabajoPlanificado[[#This Row],[Fecha Libera Orden]]</f>
        <v>15</v>
      </c>
      <c r="P66" s="3">
        <v>46148</v>
      </c>
      <c r="Q66" s="3">
        <v>46163</v>
      </c>
      <c r="R66" s="1" t="s">
        <v>284</v>
      </c>
      <c r="S66" s="8">
        <v>100</v>
      </c>
      <c r="T66" s="9">
        <v>18</v>
      </c>
      <c r="U66" s="9">
        <v>18</v>
      </c>
      <c r="V66" t="s">
        <v>694</v>
      </c>
    </row>
    <row r="67" spans="1:22" ht="15.75" thickBot="1" x14ac:dyDescent="0.3">
      <c r="A67" s="18" t="s">
        <v>203</v>
      </c>
      <c r="B67" s="1" t="s">
        <v>14</v>
      </c>
      <c r="C67" s="1" t="s">
        <v>37</v>
      </c>
      <c r="D67" s="1" t="s">
        <v>38</v>
      </c>
      <c r="E67" s="1" t="s">
        <v>46</v>
      </c>
      <c r="F67" s="1" t="s">
        <v>414</v>
      </c>
      <c r="G67" s="1" t="s">
        <v>44</v>
      </c>
      <c r="H67" s="1" t="s">
        <v>43</v>
      </c>
      <c r="I67" s="41" t="str">
        <f>VLOOKUP(Tbl_PctTrabajoPlanificado[[#This Row],[Orden mantenimiento]],Data!$E$2:$H$63,2,FALSE)</f>
        <v>C81</v>
      </c>
      <c r="J67" s="41" t="str" cm="1">
        <f t="array" ref="J67">_xlfn.IFS(I67="C81","Pl.Termoelec.Chuq.",I67="C82","Pl.Dist.Energ.Elec",I67="C89","Pl.Mant.Ind.Electr",I67="CO0","Concentradora A0",I67="CO1","Concentradora A1",I67="CO2","Concentradora A2",I67="CB1","SAE Centralizado",I67="C71","Pl.Maestranza.Cent",I67="C72","Pl.Calderería.Cent",I67="C74","CONTRATOS METALMEC",I67="C40","Planif. Refinería",I67="SAPCI","SAPCI",TRUE,"Código no encontrado")</f>
        <v>Pl.Termoelec.Chuq.</v>
      </c>
      <c r="K67" s="1" t="s">
        <v>308</v>
      </c>
      <c r="L67" s="1" t="s">
        <v>309</v>
      </c>
      <c r="M67" s="1" t="s">
        <v>206</v>
      </c>
      <c r="N67" s="1" t="s">
        <v>42</v>
      </c>
      <c r="O67" s="41">
        <f>Tbl_PctTrabajoPlanificado[[#This Row],[Fecha inicio real]]-Tbl_PctTrabajoPlanificado[[#This Row],[Fecha Libera Orden]]</f>
        <v>18</v>
      </c>
      <c r="P67" s="3">
        <v>46148</v>
      </c>
      <c r="Q67" s="3">
        <v>46166</v>
      </c>
      <c r="R67" s="1" t="s">
        <v>284</v>
      </c>
      <c r="S67" s="6">
        <v>100</v>
      </c>
      <c r="T67" s="7">
        <v>2.5</v>
      </c>
      <c r="U67" s="7">
        <v>2.5</v>
      </c>
      <c r="V67" t="s">
        <v>694</v>
      </c>
    </row>
    <row r="68" spans="1:22" ht="15.75" thickBot="1" x14ac:dyDescent="0.3">
      <c r="A68" s="18" t="s">
        <v>203</v>
      </c>
      <c r="B68" s="1" t="s">
        <v>14</v>
      </c>
      <c r="C68" s="1" t="s">
        <v>37</v>
      </c>
      <c r="D68" s="1" t="s">
        <v>38</v>
      </c>
      <c r="E68" s="1" t="s">
        <v>46</v>
      </c>
      <c r="F68" s="1" t="s">
        <v>414</v>
      </c>
      <c r="G68" s="1" t="s">
        <v>44</v>
      </c>
      <c r="H68" s="1" t="s">
        <v>43</v>
      </c>
      <c r="I68" s="41" t="str">
        <f>VLOOKUP(Tbl_PctTrabajoPlanificado[[#This Row],[Orden mantenimiento]],Data!$E$2:$H$63,2,FALSE)</f>
        <v>C81</v>
      </c>
      <c r="J68" s="41" t="str" cm="1">
        <f t="array" ref="J68">_xlfn.IFS(I68="C81","Pl.Termoelec.Chuq.",I68="C82","Pl.Dist.Energ.Elec",I68="C89","Pl.Mant.Ind.Electr",I68="CO0","Concentradora A0",I68="CO1","Concentradora A1",I68="CO2","Concentradora A2",I68="CB1","SAE Centralizado",I68="C71","Pl.Maestranza.Cent",I68="C72","Pl.Calderería.Cent",I68="C74","CONTRATOS METALMEC",I68="C40","Planif. Refinería",I68="SAPCI","SAPCI",TRUE,"Código no encontrado")</f>
        <v>Pl.Termoelec.Chuq.</v>
      </c>
      <c r="K68" s="1" t="s">
        <v>310</v>
      </c>
      <c r="L68" s="1" t="s">
        <v>311</v>
      </c>
      <c r="M68" s="1" t="s">
        <v>210</v>
      </c>
      <c r="N68" s="1" t="s">
        <v>42</v>
      </c>
      <c r="O68" s="41">
        <f>Tbl_PctTrabajoPlanificado[[#This Row],[Fecha inicio real]]-Tbl_PctTrabajoPlanificado[[#This Row],[Fecha Libera Orden]]</f>
        <v>9</v>
      </c>
      <c r="P68" s="3">
        <v>46151</v>
      </c>
      <c r="Q68" s="3">
        <v>46160</v>
      </c>
      <c r="R68" s="1" t="s">
        <v>284</v>
      </c>
      <c r="S68" s="8">
        <v>100</v>
      </c>
      <c r="T68" s="9">
        <v>8</v>
      </c>
      <c r="U68" s="9">
        <v>8</v>
      </c>
      <c r="V68" t="s">
        <v>694</v>
      </c>
    </row>
    <row r="69" spans="1:22" ht="15.75" thickBot="1" x14ac:dyDescent="0.3">
      <c r="A69" s="18" t="s">
        <v>203</v>
      </c>
      <c r="B69" s="1" t="s">
        <v>14</v>
      </c>
      <c r="C69" s="1" t="s">
        <v>37</v>
      </c>
      <c r="D69" s="1" t="s">
        <v>38</v>
      </c>
      <c r="E69" s="1" t="s">
        <v>46</v>
      </c>
      <c r="F69" s="1" t="s">
        <v>414</v>
      </c>
      <c r="G69" s="1" t="s">
        <v>44</v>
      </c>
      <c r="H69" s="1" t="s">
        <v>43</v>
      </c>
      <c r="I69" s="41" t="str">
        <f>VLOOKUP(Tbl_PctTrabajoPlanificado[[#This Row],[Orden mantenimiento]],Data!$E$2:$H$63,2,FALSE)</f>
        <v>C81</v>
      </c>
      <c r="J69" s="41" t="str" cm="1">
        <f t="array" ref="J69">_xlfn.IFS(I69="C81","Pl.Termoelec.Chuq.",I69="C82","Pl.Dist.Energ.Elec",I69="C89","Pl.Mant.Ind.Electr",I69="CO0","Concentradora A0",I69="CO1","Concentradora A1",I69="CO2","Concentradora A2",I69="CB1","SAE Centralizado",I69="C71","Pl.Maestranza.Cent",I69="C72","Pl.Calderería.Cent",I69="C74","CONTRATOS METALMEC",I69="C40","Planif. Refinería",I69="SAPCI","SAPCI",TRUE,"Código no encontrado")</f>
        <v>Pl.Termoelec.Chuq.</v>
      </c>
      <c r="K69" s="1" t="s">
        <v>310</v>
      </c>
      <c r="L69" s="1" t="s">
        <v>311</v>
      </c>
      <c r="M69" s="1" t="s">
        <v>210</v>
      </c>
      <c r="N69" s="1" t="s">
        <v>42</v>
      </c>
      <c r="O69" s="41">
        <f>Tbl_PctTrabajoPlanificado[[#This Row],[Fecha inicio real]]-Tbl_PctTrabajoPlanificado[[#This Row],[Fecha Libera Orden]]</f>
        <v>10</v>
      </c>
      <c r="P69" s="3">
        <v>46151</v>
      </c>
      <c r="Q69" s="3">
        <v>46161</v>
      </c>
      <c r="R69" s="1" t="s">
        <v>284</v>
      </c>
      <c r="S69" s="6">
        <v>100</v>
      </c>
      <c r="T69" s="7">
        <v>34</v>
      </c>
      <c r="U69" s="7">
        <v>34</v>
      </c>
      <c r="V69" t="s">
        <v>694</v>
      </c>
    </row>
    <row r="70" spans="1:22" ht="15.75" thickBot="1" x14ac:dyDescent="0.3">
      <c r="A70" s="18" t="s">
        <v>203</v>
      </c>
      <c r="B70" s="1" t="s">
        <v>14</v>
      </c>
      <c r="C70" s="1" t="s">
        <v>37</v>
      </c>
      <c r="D70" s="1" t="s">
        <v>38</v>
      </c>
      <c r="E70" s="1" t="s">
        <v>46</v>
      </c>
      <c r="F70" s="1" t="s">
        <v>414</v>
      </c>
      <c r="G70" s="1" t="s">
        <v>44</v>
      </c>
      <c r="H70" s="1" t="s">
        <v>43</v>
      </c>
      <c r="I70" s="41" t="str">
        <f>VLOOKUP(Tbl_PctTrabajoPlanificado[[#This Row],[Orden mantenimiento]],Data!$E$2:$H$63,2,FALSE)</f>
        <v>C81</v>
      </c>
      <c r="J70" s="41" t="str" cm="1">
        <f t="array" ref="J70">_xlfn.IFS(I70="C81","Pl.Termoelec.Chuq.",I70="C82","Pl.Dist.Energ.Elec",I70="C89","Pl.Mant.Ind.Electr",I70="CO0","Concentradora A0",I70="CO1","Concentradora A1",I70="CO2","Concentradora A2",I70="CB1","SAE Centralizado",I70="C71","Pl.Maestranza.Cent",I70="C72","Pl.Calderería.Cent",I70="C74","CONTRATOS METALMEC",I70="C40","Planif. Refinería",I70="SAPCI","SAPCI",TRUE,"Código no encontrado")</f>
        <v>Pl.Termoelec.Chuq.</v>
      </c>
      <c r="K70" s="1" t="s">
        <v>310</v>
      </c>
      <c r="L70" s="1" t="s">
        <v>311</v>
      </c>
      <c r="M70" s="1" t="s">
        <v>210</v>
      </c>
      <c r="N70" s="1" t="s">
        <v>42</v>
      </c>
      <c r="O70" s="41">
        <f>Tbl_PctTrabajoPlanificado[[#This Row],[Fecha inicio real]]-Tbl_PctTrabajoPlanificado[[#This Row],[Fecha Libera Orden]]</f>
        <v>11</v>
      </c>
      <c r="P70" s="3">
        <v>46151</v>
      </c>
      <c r="Q70" s="3">
        <v>46162</v>
      </c>
      <c r="R70" s="1" t="s">
        <v>284</v>
      </c>
      <c r="S70" s="8">
        <v>100</v>
      </c>
      <c r="T70" s="9">
        <v>8</v>
      </c>
      <c r="U70" s="9">
        <v>8</v>
      </c>
      <c r="V70" t="s">
        <v>694</v>
      </c>
    </row>
    <row r="71" spans="1:22" ht="15.75" thickBot="1" x14ac:dyDescent="0.3">
      <c r="A71" s="18" t="s">
        <v>203</v>
      </c>
      <c r="B71" s="1" t="s">
        <v>14</v>
      </c>
      <c r="C71" s="1" t="s">
        <v>37</v>
      </c>
      <c r="D71" s="1" t="s">
        <v>38</v>
      </c>
      <c r="E71" s="1" t="s">
        <v>46</v>
      </c>
      <c r="F71" s="1" t="s">
        <v>414</v>
      </c>
      <c r="G71" s="1" t="s">
        <v>44</v>
      </c>
      <c r="H71" s="1" t="s">
        <v>43</v>
      </c>
      <c r="I71" s="41" t="str">
        <f>VLOOKUP(Tbl_PctTrabajoPlanificado[[#This Row],[Orden mantenimiento]],Data!$E$2:$H$63,2,FALSE)</f>
        <v>C81</v>
      </c>
      <c r="J71" s="41" t="str" cm="1">
        <f t="array" ref="J71">_xlfn.IFS(I71="C81","Pl.Termoelec.Chuq.",I71="C82","Pl.Dist.Energ.Elec",I71="C89","Pl.Mant.Ind.Electr",I71="CO0","Concentradora A0",I71="CO1","Concentradora A1",I71="CO2","Concentradora A2",I71="CB1","SAE Centralizado",I71="C71","Pl.Maestranza.Cent",I71="C72","Pl.Calderería.Cent",I71="C74","CONTRATOS METALMEC",I71="C40","Planif. Refinería",I71="SAPCI","SAPCI",TRUE,"Código no encontrado")</f>
        <v>Pl.Termoelec.Chuq.</v>
      </c>
      <c r="K71" s="1" t="s">
        <v>310</v>
      </c>
      <c r="L71" s="1" t="s">
        <v>311</v>
      </c>
      <c r="M71" s="1" t="s">
        <v>305</v>
      </c>
      <c r="N71" s="1" t="s">
        <v>42</v>
      </c>
      <c r="O71" s="41">
        <f>Tbl_PctTrabajoPlanificado[[#This Row],[Fecha inicio real]]-Tbl_PctTrabajoPlanificado[[#This Row],[Fecha Libera Orden]]</f>
        <v>9</v>
      </c>
      <c r="P71" s="3">
        <v>46151</v>
      </c>
      <c r="Q71" s="3">
        <v>46160</v>
      </c>
      <c r="R71" s="1" t="s">
        <v>284</v>
      </c>
      <c r="S71" s="6">
        <v>100</v>
      </c>
      <c r="T71" s="7">
        <v>60</v>
      </c>
      <c r="U71" s="7">
        <v>60</v>
      </c>
      <c r="V71" t="s">
        <v>694</v>
      </c>
    </row>
    <row r="72" spans="1:22" ht="15.75" thickBot="1" x14ac:dyDescent="0.3">
      <c r="A72" s="18" t="s">
        <v>203</v>
      </c>
      <c r="B72" s="1" t="s">
        <v>14</v>
      </c>
      <c r="C72" s="1" t="s">
        <v>37</v>
      </c>
      <c r="D72" s="1" t="s">
        <v>38</v>
      </c>
      <c r="E72" s="1" t="s">
        <v>46</v>
      </c>
      <c r="F72" s="1" t="s">
        <v>414</v>
      </c>
      <c r="G72" s="1" t="s">
        <v>44</v>
      </c>
      <c r="H72" s="1" t="s">
        <v>43</v>
      </c>
      <c r="I72" s="41" t="str">
        <f>VLOOKUP(Tbl_PctTrabajoPlanificado[[#This Row],[Orden mantenimiento]],Data!$E$2:$H$63,2,FALSE)</f>
        <v>C81</v>
      </c>
      <c r="J72" s="41" t="str" cm="1">
        <f t="array" ref="J72">_xlfn.IFS(I72="C81","Pl.Termoelec.Chuq.",I72="C82","Pl.Dist.Energ.Elec",I72="C89","Pl.Mant.Ind.Electr",I72="CO0","Concentradora A0",I72="CO1","Concentradora A1",I72="CO2","Concentradora A2",I72="CB1","SAE Centralizado",I72="C71","Pl.Maestranza.Cent",I72="C72","Pl.Calderería.Cent",I72="C74","CONTRATOS METALMEC",I72="C40","Planif. Refinería",I72="SAPCI","SAPCI",TRUE,"Código no encontrado")</f>
        <v>Pl.Termoelec.Chuq.</v>
      </c>
      <c r="K72" s="1" t="s">
        <v>310</v>
      </c>
      <c r="L72" s="1" t="s">
        <v>311</v>
      </c>
      <c r="M72" s="1" t="s">
        <v>305</v>
      </c>
      <c r="N72" s="1" t="s">
        <v>42</v>
      </c>
      <c r="O72" s="41">
        <f>Tbl_PctTrabajoPlanificado[[#This Row],[Fecha inicio real]]-Tbl_PctTrabajoPlanificado[[#This Row],[Fecha Libera Orden]]</f>
        <v>12</v>
      </c>
      <c r="P72" s="3">
        <v>46151</v>
      </c>
      <c r="Q72" s="3">
        <v>46163</v>
      </c>
      <c r="R72" s="1" t="s">
        <v>284</v>
      </c>
      <c r="S72" s="8">
        <v>100</v>
      </c>
      <c r="T72" s="9">
        <v>24</v>
      </c>
      <c r="U72" s="9">
        <v>24</v>
      </c>
      <c r="V72" t="s">
        <v>694</v>
      </c>
    </row>
    <row r="73" spans="1:22" ht="15.75" thickBot="1" x14ac:dyDescent="0.3">
      <c r="A73" s="18" t="s">
        <v>203</v>
      </c>
      <c r="B73" s="1" t="s">
        <v>14</v>
      </c>
      <c r="C73" s="1" t="s">
        <v>37</v>
      </c>
      <c r="D73" s="1" t="s">
        <v>38</v>
      </c>
      <c r="E73" s="1" t="s">
        <v>46</v>
      </c>
      <c r="F73" s="1" t="s">
        <v>414</v>
      </c>
      <c r="G73" s="1" t="s">
        <v>44</v>
      </c>
      <c r="H73" s="1" t="s">
        <v>43</v>
      </c>
      <c r="I73" s="41" t="str">
        <f>VLOOKUP(Tbl_PctTrabajoPlanificado[[#This Row],[Orden mantenimiento]],Data!$E$2:$H$63,2,FALSE)</f>
        <v>C81</v>
      </c>
      <c r="J73" s="41" t="str" cm="1">
        <f t="array" ref="J73">_xlfn.IFS(I73="C81","Pl.Termoelec.Chuq.",I73="C82","Pl.Dist.Energ.Elec",I73="C89","Pl.Mant.Ind.Electr",I73="CO0","Concentradora A0",I73="CO1","Concentradora A1",I73="CO2","Concentradora A2",I73="CB1","SAE Centralizado",I73="C71","Pl.Maestranza.Cent",I73="C72","Pl.Calderería.Cent",I73="C74","CONTRATOS METALMEC",I73="C40","Planif. Refinería",I73="SAPCI","SAPCI",TRUE,"Código no encontrado")</f>
        <v>Pl.Termoelec.Chuq.</v>
      </c>
      <c r="K73" s="1" t="s">
        <v>310</v>
      </c>
      <c r="L73" s="1" t="s">
        <v>311</v>
      </c>
      <c r="M73" s="1" t="s">
        <v>305</v>
      </c>
      <c r="N73" s="1" t="s">
        <v>42</v>
      </c>
      <c r="O73" s="41">
        <f>Tbl_PctTrabajoPlanificado[[#This Row],[Fecha inicio real]]-Tbl_PctTrabajoPlanificado[[#This Row],[Fecha Libera Orden]]</f>
        <v>13</v>
      </c>
      <c r="P73" s="3">
        <v>46151</v>
      </c>
      <c r="Q73" s="3">
        <v>46164</v>
      </c>
      <c r="R73" s="1" t="s">
        <v>284</v>
      </c>
      <c r="S73" s="6">
        <v>100</v>
      </c>
      <c r="T73" s="7">
        <v>57</v>
      </c>
      <c r="U73" s="7">
        <v>57</v>
      </c>
      <c r="V73" t="s">
        <v>694</v>
      </c>
    </row>
    <row r="74" spans="1:22" ht="15.75" thickBot="1" x14ac:dyDescent="0.3">
      <c r="A74" s="18" t="s">
        <v>203</v>
      </c>
      <c r="B74" s="1" t="s">
        <v>14</v>
      </c>
      <c r="C74" s="1" t="s">
        <v>37</v>
      </c>
      <c r="D74" s="1" t="s">
        <v>38</v>
      </c>
      <c r="E74" s="1" t="s">
        <v>46</v>
      </c>
      <c r="F74" s="1" t="s">
        <v>414</v>
      </c>
      <c r="G74" s="1" t="s">
        <v>44</v>
      </c>
      <c r="H74" s="1" t="s">
        <v>43</v>
      </c>
      <c r="I74" s="41" t="str">
        <f>VLOOKUP(Tbl_PctTrabajoPlanificado[[#This Row],[Orden mantenimiento]],Data!$E$2:$H$63,2,FALSE)</f>
        <v>C81</v>
      </c>
      <c r="J74" s="41" t="str" cm="1">
        <f t="array" ref="J74">_xlfn.IFS(I74="C81","Pl.Termoelec.Chuq.",I74="C82","Pl.Dist.Energ.Elec",I74="C89","Pl.Mant.Ind.Electr",I74="CO0","Concentradora A0",I74="CO1","Concentradora A1",I74="CO2","Concentradora A2",I74="CB1","SAE Centralizado",I74="C71","Pl.Maestranza.Cent",I74="C72","Pl.Calderería.Cent",I74="C74","CONTRATOS METALMEC",I74="C40","Planif. Refinería",I74="SAPCI","SAPCI",TRUE,"Código no encontrado")</f>
        <v>Pl.Termoelec.Chuq.</v>
      </c>
      <c r="K74" s="1" t="s">
        <v>310</v>
      </c>
      <c r="L74" s="1" t="s">
        <v>311</v>
      </c>
      <c r="M74" s="1" t="s">
        <v>305</v>
      </c>
      <c r="N74" s="1" t="s">
        <v>42</v>
      </c>
      <c r="O74" s="41">
        <f>Tbl_PctTrabajoPlanificado[[#This Row],[Fecha inicio real]]-Tbl_PctTrabajoPlanificado[[#This Row],[Fecha Libera Orden]]</f>
        <v>14</v>
      </c>
      <c r="P74" s="3">
        <v>46151</v>
      </c>
      <c r="Q74" s="3">
        <v>46165</v>
      </c>
      <c r="R74" s="1" t="s">
        <v>284</v>
      </c>
      <c r="S74" s="8">
        <v>100</v>
      </c>
      <c r="T74" s="9">
        <v>18</v>
      </c>
      <c r="U74" s="9">
        <v>18</v>
      </c>
      <c r="V74" t="s">
        <v>694</v>
      </c>
    </row>
    <row r="75" spans="1:22" ht="15.75" thickBot="1" x14ac:dyDescent="0.3">
      <c r="A75" s="18" t="s">
        <v>203</v>
      </c>
      <c r="B75" s="1" t="s">
        <v>14</v>
      </c>
      <c r="C75" s="1" t="s">
        <v>37</v>
      </c>
      <c r="D75" s="1" t="s">
        <v>38</v>
      </c>
      <c r="E75" s="1" t="s">
        <v>46</v>
      </c>
      <c r="F75" s="1" t="s">
        <v>414</v>
      </c>
      <c r="G75" s="1" t="s">
        <v>44</v>
      </c>
      <c r="H75" s="1" t="s">
        <v>43</v>
      </c>
      <c r="I75" s="41" t="str">
        <f>VLOOKUP(Tbl_PctTrabajoPlanificado[[#This Row],[Orden mantenimiento]],Data!$E$2:$H$63,2,FALSE)</f>
        <v>C81</v>
      </c>
      <c r="J75" s="41" t="str" cm="1">
        <f t="array" ref="J75">_xlfn.IFS(I75="C81","Pl.Termoelec.Chuq.",I75="C82","Pl.Dist.Energ.Elec",I75="C89","Pl.Mant.Ind.Electr",I75="CO0","Concentradora A0",I75="CO1","Concentradora A1",I75="CO2","Concentradora A2",I75="CB1","SAE Centralizado",I75="C71","Pl.Maestranza.Cent",I75="C72","Pl.Calderería.Cent",I75="C74","CONTRATOS METALMEC",I75="C40","Planif. Refinería",I75="SAPCI","SAPCI",TRUE,"Código no encontrado")</f>
        <v>Pl.Termoelec.Chuq.</v>
      </c>
      <c r="K75" s="1" t="s">
        <v>312</v>
      </c>
      <c r="L75" s="1" t="s">
        <v>313</v>
      </c>
      <c r="M75" s="1" t="s">
        <v>206</v>
      </c>
      <c r="N75" s="1" t="s">
        <v>42</v>
      </c>
      <c r="O75" s="41">
        <f>Tbl_PctTrabajoPlanificado[[#This Row],[Fecha inicio real]]-Tbl_PctTrabajoPlanificado[[#This Row],[Fecha Libera Orden]]</f>
        <v>9</v>
      </c>
      <c r="P75" s="3">
        <v>46151</v>
      </c>
      <c r="Q75" s="3">
        <v>46160</v>
      </c>
      <c r="R75" s="1" t="s">
        <v>284</v>
      </c>
      <c r="S75" s="6">
        <v>100</v>
      </c>
      <c r="T75" s="7">
        <v>39</v>
      </c>
      <c r="U75" s="7">
        <v>39</v>
      </c>
      <c r="V75" t="s">
        <v>694</v>
      </c>
    </row>
    <row r="76" spans="1:22" ht="15.75" thickBot="1" x14ac:dyDescent="0.3">
      <c r="A76" s="18" t="s">
        <v>203</v>
      </c>
      <c r="B76" s="1" t="s">
        <v>14</v>
      </c>
      <c r="C76" s="1" t="s">
        <v>37</v>
      </c>
      <c r="D76" s="1" t="s">
        <v>38</v>
      </c>
      <c r="E76" s="1" t="s">
        <v>46</v>
      </c>
      <c r="F76" s="1" t="s">
        <v>414</v>
      </c>
      <c r="G76" s="1" t="s">
        <v>44</v>
      </c>
      <c r="H76" s="1" t="s">
        <v>43</v>
      </c>
      <c r="I76" s="41" t="str">
        <f>VLOOKUP(Tbl_PctTrabajoPlanificado[[#This Row],[Orden mantenimiento]],Data!$E$2:$H$63,2,FALSE)</f>
        <v>C81</v>
      </c>
      <c r="J76" s="41" t="str" cm="1">
        <f t="array" ref="J76">_xlfn.IFS(I76="C81","Pl.Termoelec.Chuq.",I76="C82","Pl.Dist.Energ.Elec",I76="C89","Pl.Mant.Ind.Electr",I76="CO0","Concentradora A0",I76="CO1","Concentradora A1",I76="CO2","Concentradora A2",I76="CB1","SAE Centralizado",I76="C71","Pl.Maestranza.Cent",I76="C72","Pl.Calderería.Cent",I76="C74","CONTRATOS METALMEC",I76="C40","Planif. Refinería",I76="SAPCI","SAPCI",TRUE,"Código no encontrado")</f>
        <v>Pl.Termoelec.Chuq.</v>
      </c>
      <c r="K76" s="1" t="s">
        <v>312</v>
      </c>
      <c r="L76" s="1" t="s">
        <v>313</v>
      </c>
      <c r="M76" s="1" t="s">
        <v>206</v>
      </c>
      <c r="N76" s="1" t="s">
        <v>42</v>
      </c>
      <c r="O76" s="41">
        <f>Tbl_PctTrabajoPlanificado[[#This Row],[Fecha inicio real]]-Tbl_PctTrabajoPlanificado[[#This Row],[Fecha Libera Orden]]</f>
        <v>10</v>
      </c>
      <c r="P76" s="3">
        <v>46151</v>
      </c>
      <c r="Q76" s="3">
        <v>46161</v>
      </c>
      <c r="R76" s="1" t="s">
        <v>284</v>
      </c>
      <c r="S76" s="8">
        <v>100</v>
      </c>
      <c r="T76" s="9">
        <v>33.5</v>
      </c>
      <c r="U76" s="9">
        <v>33.5</v>
      </c>
      <c r="V76" t="s">
        <v>694</v>
      </c>
    </row>
    <row r="77" spans="1:22" ht="15.75" thickBot="1" x14ac:dyDescent="0.3">
      <c r="A77" s="18" t="s">
        <v>203</v>
      </c>
      <c r="B77" s="1" t="s">
        <v>14</v>
      </c>
      <c r="C77" s="1" t="s">
        <v>37</v>
      </c>
      <c r="D77" s="1" t="s">
        <v>38</v>
      </c>
      <c r="E77" s="1" t="s">
        <v>46</v>
      </c>
      <c r="F77" s="1" t="s">
        <v>414</v>
      </c>
      <c r="G77" s="1" t="s">
        <v>44</v>
      </c>
      <c r="H77" s="1" t="s">
        <v>43</v>
      </c>
      <c r="I77" s="41" t="str">
        <f>VLOOKUP(Tbl_PctTrabajoPlanificado[[#This Row],[Orden mantenimiento]],Data!$E$2:$H$63,2,FALSE)</f>
        <v>C81</v>
      </c>
      <c r="J77" s="41" t="str" cm="1">
        <f t="array" ref="J77">_xlfn.IFS(I77="C81","Pl.Termoelec.Chuq.",I77="C82","Pl.Dist.Energ.Elec",I77="C89","Pl.Mant.Ind.Electr",I77="CO0","Concentradora A0",I77="CO1","Concentradora A1",I77="CO2","Concentradora A2",I77="CB1","SAE Centralizado",I77="C71","Pl.Maestranza.Cent",I77="C72","Pl.Calderería.Cent",I77="C74","CONTRATOS METALMEC",I77="C40","Planif. Refinería",I77="SAPCI","SAPCI",TRUE,"Código no encontrado")</f>
        <v>Pl.Termoelec.Chuq.</v>
      </c>
      <c r="K77" s="1" t="s">
        <v>312</v>
      </c>
      <c r="L77" s="1" t="s">
        <v>313</v>
      </c>
      <c r="M77" s="1" t="s">
        <v>206</v>
      </c>
      <c r="N77" s="1" t="s">
        <v>42</v>
      </c>
      <c r="O77" s="41">
        <f>Tbl_PctTrabajoPlanificado[[#This Row],[Fecha inicio real]]-Tbl_PctTrabajoPlanificado[[#This Row],[Fecha Libera Orden]]</f>
        <v>11</v>
      </c>
      <c r="P77" s="3">
        <v>46151</v>
      </c>
      <c r="Q77" s="3">
        <v>46162</v>
      </c>
      <c r="R77" s="1" t="s">
        <v>284</v>
      </c>
      <c r="S77" s="6">
        <v>100</v>
      </c>
      <c r="T77" s="7">
        <v>36</v>
      </c>
      <c r="U77" s="7">
        <v>36</v>
      </c>
      <c r="V77" t="s">
        <v>694</v>
      </c>
    </row>
    <row r="78" spans="1:22" ht="15.75" thickBot="1" x14ac:dyDescent="0.3">
      <c r="A78" s="18" t="s">
        <v>203</v>
      </c>
      <c r="B78" s="1" t="s">
        <v>14</v>
      </c>
      <c r="C78" s="1" t="s">
        <v>37</v>
      </c>
      <c r="D78" s="1" t="s">
        <v>38</v>
      </c>
      <c r="E78" s="1" t="s">
        <v>46</v>
      </c>
      <c r="F78" s="1" t="s">
        <v>414</v>
      </c>
      <c r="G78" s="1" t="s">
        <v>148</v>
      </c>
      <c r="H78" s="1" t="s">
        <v>147</v>
      </c>
      <c r="I78" s="41" t="str">
        <f>VLOOKUP(Tbl_PctTrabajoPlanificado[[#This Row],[Orden mantenimiento]],Data!$E$2:$H$63,2,FALSE)</f>
        <v>C81</v>
      </c>
      <c r="J78" s="41" t="str" cm="1">
        <f t="array" ref="J78">_xlfn.IFS(I78="C81","Pl.Termoelec.Chuq.",I78="C82","Pl.Dist.Energ.Elec",I78="C89","Pl.Mant.Ind.Electr",I78="CO0","Concentradora A0",I78="CO1","Concentradora A1",I78="CO2","Concentradora A2",I78="CB1","SAE Centralizado",I78="C71","Pl.Maestranza.Cent",I78="C72","Pl.Calderería.Cent",I78="C74","CONTRATOS METALMEC",I78="C40","Planif. Refinería",I78="SAPCI","SAPCI",TRUE,"Código no encontrado")</f>
        <v>Pl.Termoelec.Chuq.</v>
      </c>
      <c r="K78" s="1" t="s">
        <v>314</v>
      </c>
      <c r="L78" s="1" t="s">
        <v>315</v>
      </c>
      <c r="M78" s="1" t="s">
        <v>316</v>
      </c>
      <c r="N78" s="1" t="s">
        <v>146</v>
      </c>
      <c r="O78" s="41">
        <f>Tbl_PctTrabajoPlanificado[[#This Row],[Fecha inicio real]]-Tbl_PctTrabajoPlanificado[[#This Row],[Fecha Libera Orden]]</f>
        <v>0</v>
      </c>
      <c r="P78" s="3">
        <v>46160</v>
      </c>
      <c r="Q78" s="3">
        <v>46160</v>
      </c>
      <c r="R78" s="1" t="s">
        <v>23</v>
      </c>
      <c r="S78" s="12"/>
      <c r="T78" s="12"/>
      <c r="U78" s="9">
        <v>1</v>
      </c>
      <c r="V78" t="s">
        <v>695</v>
      </c>
    </row>
    <row r="79" spans="1:22" ht="15.75" thickBot="1" x14ac:dyDescent="0.3">
      <c r="A79" s="18" t="s">
        <v>203</v>
      </c>
      <c r="B79" s="1" t="s">
        <v>14</v>
      </c>
      <c r="C79" s="1" t="s">
        <v>37</v>
      </c>
      <c r="D79" s="1" t="s">
        <v>38</v>
      </c>
      <c r="E79" s="1" t="s">
        <v>46</v>
      </c>
      <c r="F79" s="1" t="s">
        <v>414</v>
      </c>
      <c r="G79" s="1" t="s">
        <v>148</v>
      </c>
      <c r="H79" s="1" t="s">
        <v>147</v>
      </c>
      <c r="I79" s="41" t="str">
        <f>VLOOKUP(Tbl_PctTrabajoPlanificado[[#This Row],[Orden mantenimiento]],Data!$E$2:$H$63,2,FALSE)</f>
        <v>C81</v>
      </c>
      <c r="J79" s="41" t="str" cm="1">
        <f t="array" ref="J79">_xlfn.IFS(I79="C81","Pl.Termoelec.Chuq.",I79="C82","Pl.Dist.Energ.Elec",I79="C89","Pl.Mant.Ind.Electr",I79="CO0","Concentradora A0",I79="CO1","Concentradora A1",I79="CO2","Concentradora A2",I79="CB1","SAE Centralizado",I79="C71","Pl.Maestranza.Cent",I79="C72","Pl.Calderería.Cent",I79="C74","CONTRATOS METALMEC",I79="C40","Planif. Refinería",I79="SAPCI","SAPCI",TRUE,"Código no encontrado")</f>
        <v>Pl.Termoelec.Chuq.</v>
      </c>
      <c r="K79" s="1" t="s">
        <v>317</v>
      </c>
      <c r="L79" s="1" t="s">
        <v>318</v>
      </c>
      <c r="M79" s="1" t="s">
        <v>316</v>
      </c>
      <c r="N79" s="1" t="s">
        <v>146</v>
      </c>
      <c r="O79" s="41">
        <f>Tbl_PctTrabajoPlanificado[[#This Row],[Fecha inicio real]]-Tbl_PctTrabajoPlanificado[[#This Row],[Fecha Libera Orden]]</f>
        <v>5</v>
      </c>
      <c r="P79" s="3">
        <v>46157</v>
      </c>
      <c r="Q79" s="3">
        <v>46162</v>
      </c>
      <c r="R79" s="1" t="s">
        <v>23</v>
      </c>
      <c r="S79" s="13"/>
      <c r="T79" s="13"/>
      <c r="U79" s="7">
        <v>1</v>
      </c>
      <c r="V79" t="s">
        <v>695</v>
      </c>
    </row>
    <row r="80" spans="1:22" ht="15.75" thickBot="1" x14ac:dyDescent="0.3">
      <c r="A80" s="18" t="s">
        <v>203</v>
      </c>
      <c r="B80" s="1" t="s">
        <v>14</v>
      </c>
      <c r="C80" s="1" t="s">
        <v>37</v>
      </c>
      <c r="D80" s="1" t="s">
        <v>38</v>
      </c>
      <c r="E80" s="1" t="s">
        <v>46</v>
      </c>
      <c r="F80" s="1" t="s">
        <v>414</v>
      </c>
      <c r="G80" s="1" t="s">
        <v>148</v>
      </c>
      <c r="H80" s="1" t="s">
        <v>147</v>
      </c>
      <c r="I80" s="41" t="str">
        <f>VLOOKUP(Tbl_PctTrabajoPlanificado[[#This Row],[Orden mantenimiento]],Data!$E$2:$H$63,2,FALSE)</f>
        <v>C81</v>
      </c>
      <c r="J80" s="41" t="str" cm="1">
        <f t="array" ref="J80">_xlfn.IFS(I80="C81","Pl.Termoelec.Chuq.",I80="C82","Pl.Dist.Energ.Elec",I80="C89","Pl.Mant.Ind.Electr",I80="CO0","Concentradora A0",I80="CO1","Concentradora A1",I80="CO2","Concentradora A2",I80="CB1","SAE Centralizado",I80="C71","Pl.Maestranza.Cent",I80="C72","Pl.Calderería.Cent",I80="C74","CONTRATOS METALMEC",I80="C40","Planif. Refinería",I80="SAPCI","SAPCI",TRUE,"Código no encontrado")</f>
        <v>Pl.Termoelec.Chuq.</v>
      </c>
      <c r="K80" s="1" t="s">
        <v>319</v>
      </c>
      <c r="L80" s="1" t="s">
        <v>320</v>
      </c>
      <c r="M80" s="1" t="s">
        <v>316</v>
      </c>
      <c r="N80" s="1" t="s">
        <v>146</v>
      </c>
      <c r="O80" s="41">
        <f>Tbl_PctTrabajoPlanificado[[#This Row],[Fecha inicio real]]-Tbl_PctTrabajoPlanificado[[#This Row],[Fecha Libera Orden]]</f>
        <v>0</v>
      </c>
      <c r="P80" s="3">
        <v>46161</v>
      </c>
      <c r="Q80" s="3">
        <v>46161</v>
      </c>
      <c r="R80" s="1" t="s">
        <v>23</v>
      </c>
      <c r="S80" s="12"/>
      <c r="T80" s="12"/>
      <c r="U80" s="9">
        <v>3</v>
      </c>
      <c r="V80" t="s">
        <v>695</v>
      </c>
    </row>
    <row r="81" spans="1:22" ht="15.75" thickBot="1" x14ac:dyDescent="0.3">
      <c r="A81" s="18" t="s">
        <v>203</v>
      </c>
      <c r="B81" s="1" t="s">
        <v>14</v>
      </c>
      <c r="C81" s="1" t="s">
        <v>37</v>
      </c>
      <c r="D81" s="1" t="s">
        <v>38</v>
      </c>
      <c r="E81" s="1" t="s">
        <v>46</v>
      </c>
      <c r="F81" s="1" t="s">
        <v>414</v>
      </c>
      <c r="G81" s="1" t="s">
        <v>148</v>
      </c>
      <c r="H81" s="1" t="s">
        <v>147</v>
      </c>
      <c r="I81" s="41" t="str">
        <f>VLOOKUP(Tbl_PctTrabajoPlanificado[[#This Row],[Orden mantenimiento]],Data!$E$2:$H$63,2,FALSE)</f>
        <v>C81</v>
      </c>
      <c r="J81" s="41" t="str" cm="1">
        <f t="array" ref="J81">_xlfn.IFS(I81="C81","Pl.Termoelec.Chuq.",I81="C82","Pl.Dist.Energ.Elec",I81="C89","Pl.Mant.Ind.Electr",I81="CO0","Concentradora A0",I81="CO1","Concentradora A1",I81="CO2","Concentradora A2",I81="CB1","SAE Centralizado",I81="C71","Pl.Maestranza.Cent",I81="C72","Pl.Calderería.Cent",I81="C74","CONTRATOS METALMEC",I81="C40","Planif. Refinería",I81="SAPCI","SAPCI",TRUE,"Código no encontrado")</f>
        <v>Pl.Termoelec.Chuq.</v>
      </c>
      <c r="K81" s="1" t="s">
        <v>321</v>
      </c>
      <c r="L81" s="1" t="s">
        <v>322</v>
      </c>
      <c r="M81" s="1" t="s">
        <v>316</v>
      </c>
      <c r="N81" s="1" t="s">
        <v>146</v>
      </c>
      <c r="O81" s="41">
        <f>Tbl_PctTrabajoPlanificado[[#This Row],[Fecha inicio real]]-Tbl_PctTrabajoPlanificado[[#This Row],[Fecha Libera Orden]]</f>
        <v>0</v>
      </c>
      <c r="P81" s="3">
        <v>46160</v>
      </c>
      <c r="Q81" s="3">
        <v>46160</v>
      </c>
      <c r="R81" s="1" t="s">
        <v>23</v>
      </c>
      <c r="S81" s="13"/>
      <c r="T81" s="13"/>
      <c r="U81" s="7">
        <v>5</v>
      </c>
      <c r="V81" t="s">
        <v>695</v>
      </c>
    </row>
    <row r="82" spans="1:22" ht="15.75" thickBot="1" x14ac:dyDescent="0.3">
      <c r="A82" s="18" t="s">
        <v>203</v>
      </c>
      <c r="B82" s="1" t="s">
        <v>14</v>
      </c>
      <c r="C82" s="1" t="s">
        <v>37</v>
      </c>
      <c r="D82" s="1" t="s">
        <v>38</v>
      </c>
      <c r="E82" s="1" t="s">
        <v>46</v>
      </c>
      <c r="F82" s="1" t="s">
        <v>414</v>
      </c>
      <c r="G82" s="1" t="s">
        <v>148</v>
      </c>
      <c r="H82" s="1" t="s">
        <v>147</v>
      </c>
      <c r="I82" s="41" t="str">
        <f>VLOOKUP(Tbl_PctTrabajoPlanificado[[#This Row],[Orden mantenimiento]],Data!$E$2:$H$63,2,FALSE)</f>
        <v>C81</v>
      </c>
      <c r="J82" s="41" t="str" cm="1">
        <f t="array" ref="J82">_xlfn.IFS(I82="C81","Pl.Termoelec.Chuq.",I82="C82","Pl.Dist.Energ.Elec",I82="C89","Pl.Mant.Ind.Electr",I82="CO0","Concentradora A0",I82="CO1","Concentradora A1",I82="CO2","Concentradora A2",I82="CB1","SAE Centralizado",I82="C71","Pl.Maestranza.Cent",I82="C72","Pl.Calderería.Cent",I82="C74","CONTRATOS METALMEC",I82="C40","Planif. Refinería",I82="SAPCI","SAPCI",TRUE,"Código no encontrado")</f>
        <v>Pl.Termoelec.Chuq.</v>
      </c>
      <c r="K82" s="1" t="s">
        <v>323</v>
      </c>
      <c r="L82" s="1" t="s">
        <v>324</v>
      </c>
      <c r="M82" s="1" t="s">
        <v>325</v>
      </c>
      <c r="N82" s="1" t="s">
        <v>146</v>
      </c>
      <c r="O82" s="41">
        <f>Tbl_PctTrabajoPlanificado[[#This Row],[Fecha inicio real]]-Tbl_PctTrabajoPlanificado[[#This Row],[Fecha Libera Orden]]</f>
        <v>0</v>
      </c>
      <c r="P82" s="3">
        <v>46161</v>
      </c>
      <c r="Q82" s="3">
        <v>46161</v>
      </c>
      <c r="R82" s="1" t="s">
        <v>23</v>
      </c>
      <c r="S82" s="12"/>
      <c r="T82" s="12"/>
      <c r="U82" s="9">
        <v>4</v>
      </c>
      <c r="V82" t="s">
        <v>695</v>
      </c>
    </row>
    <row r="83" spans="1:22" ht="15.75" thickBot="1" x14ac:dyDescent="0.3">
      <c r="A83" s="18" t="s">
        <v>203</v>
      </c>
      <c r="B83" s="1" t="s">
        <v>14</v>
      </c>
      <c r="C83" s="1" t="s">
        <v>37</v>
      </c>
      <c r="D83" s="1" t="s">
        <v>38</v>
      </c>
      <c r="E83" s="1" t="s">
        <v>46</v>
      </c>
      <c r="F83" s="1" t="s">
        <v>414</v>
      </c>
      <c r="G83" s="1" t="s">
        <v>148</v>
      </c>
      <c r="H83" s="1" t="s">
        <v>147</v>
      </c>
      <c r="I83" s="41" t="str">
        <f>VLOOKUP(Tbl_PctTrabajoPlanificado[[#This Row],[Orden mantenimiento]],Data!$E$2:$H$63,2,FALSE)</f>
        <v>C81</v>
      </c>
      <c r="J83" s="41" t="str" cm="1">
        <f t="array" ref="J83">_xlfn.IFS(I83="C81","Pl.Termoelec.Chuq.",I83="C82","Pl.Dist.Energ.Elec",I83="C89","Pl.Mant.Ind.Electr",I83="CO0","Concentradora A0",I83="CO1","Concentradora A1",I83="CO2","Concentradora A2",I83="CB1","SAE Centralizado",I83="C71","Pl.Maestranza.Cent",I83="C72","Pl.Calderería.Cent",I83="C74","CONTRATOS METALMEC",I83="C40","Planif. Refinería",I83="SAPCI","SAPCI",TRUE,"Código no encontrado")</f>
        <v>Pl.Termoelec.Chuq.</v>
      </c>
      <c r="K83" s="1" t="s">
        <v>323</v>
      </c>
      <c r="L83" s="1" t="s">
        <v>324</v>
      </c>
      <c r="M83" s="1" t="s">
        <v>316</v>
      </c>
      <c r="N83" s="1" t="s">
        <v>146</v>
      </c>
      <c r="O83" s="41">
        <f>Tbl_PctTrabajoPlanificado[[#This Row],[Fecha inicio real]]-Tbl_PctTrabajoPlanificado[[#This Row],[Fecha Libera Orden]]</f>
        <v>0</v>
      </c>
      <c r="P83" s="3">
        <v>46161</v>
      </c>
      <c r="Q83" s="3">
        <v>46161</v>
      </c>
      <c r="R83" s="1" t="s">
        <v>23</v>
      </c>
      <c r="S83" s="13"/>
      <c r="T83" s="13"/>
      <c r="U83" s="7">
        <v>1</v>
      </c>
      <c r="V83" t="s">
        <v>695</v>
      </c>
    </row>
    <row r="84" spans="1:22" ht="15.75" thickBot="1" x14ac:dyDescent="0.3">
      <c r="A84" s="18" t="s">
        <v>203</v>
      </c>
      <c r="B84" s="1" t="s">
        <v>14</v>
      </c>
      <c r="C84" s="1" t="s">
        <v>37</v>
      </c>
      <c r="D84" s="1" t="s">
        <v>38</v>
      </c>
      <c r="E84" s="1" t="s">
        <v>46</v>
      </c>
      <c r="F84" s="1" t="s">
        <v>414</v>
      </c>
      <c r="G84" s="1" t="s">
        <v>148</v>
      </c>
      <c r="H84" s="1" t="s">
        <v>147</v>
      </c>
      <c r="I84" s="41" t="str">
        <f>VLOOKUP(Tbl_PctTrabajoPlanificado[[#This Row],[Orden mantenimiento]],Data!$E$2:$H$63,2,FALSE)</f>
        <v>C81</v>
      </c>
      <c r="J84" s="41" t="str" cm="1">
        <f t="array" ref="J84">_xlfn.IFS(I84="C81","Pl.Termoelec.Chuq.",I84="C82","Pl.Dist.Energ.Elec",I84="C89","Pl.Mant.Ind.Electr",I84="CO0","Concentradora A0",I84="CO1","Concentradora A1",I84="CO2","Concentradora A2",I84="CB1","SAE Centralizado",I84="C71","Pl.Maestranza.Cent",I84="C72","Pl.Calderería.Cent",I84="C74","CONTRATOS METALMEC",I84="C40","Planif. Refinería",I84="SAPCI","SAPCI",TRUE,"Código no encontrado")</f>
        <v>Pl.Termoelec.Chuq.</v>
      </c>
      <c r="K84" s="1" t="s">
        <v>326</v>
      </c>
      <c r="L84" s="1" t="s">
        <v>327</v>
      </c>
      <c r="M84" s="1" t="s">
        <v>316</v>
      </c>
      <c r="N84" s="1" t="s">
        <v>146</v>
      </c>
      <c r="O84" s="41">
        <f>Tbl_PctTrabajoPlanificado[[#This Row],[Fecha inicio real]]-Tbl_PctTrabajoPlanificado[[#This Row],[Fecha Libera Orden]]</f>
        <v>0</v>
      </c>
      <c r="P84" s="3">
        <v>46161</v>
      </c>
      <c r="Q84" s="3">
        <v>46161</v>
      </c>
      <c r="R84" s="1" t="s">
        <v>23</v>
      </c>
      <c r="S84" s="12"/>
      <c r="T84" s="12"/>
      <c r="U84" s="9">
        <v>2</v>
      </c>
      <c r="V84" t="s">
        <v>695</v>
      </c>
    </row>
    <row r="85" spans="1:22" ht="15.75" thickBot="1" x14ac:dyDescent="0.3">
      <c r="A85" s="18" t="s">
        <v>203</v>
      </c>
      <c r="B85" s="1" t="s">
        <v>14</v>
      </c>
      <c r="C85" s="1" t="s">
        <v>37</v>
      </c>
      <c r="D85" s="1" t="s">
        <v>38</v>
      </c>
      <c r="E85" s="1" t="s">
        <v>46</v>
      </c>
      <c r="F85" s="1" t="s">
        <v>414</v>
      </c>
      <c r="G85" s="1" t="s">
        <v>148</v>
      </c>
      <c r="H85" s="1" t="s">
        <v>147</v>
      </c>
      <c r="I85" s="41" t="str">
        <f>VLOOKUP(Tbl_PctTrabajoPlanificado[[#This Row],[Orden mantenimiento]],Data!$E$2:$H$63,2,FALSE)</f>
        <v>C81</v>
      </c>
      <c r="J85" s="41" t="str" cm="1">
        <f t="array" ref="J85">_xlfn.IFS(I85="C81","Pl.Termoelec.Chuq.",I85="C82","Pl.Dist.Energ.Elec",I85="C89","Pl.Mant.Ind.Electr",I85="CO0","Concentradora A0",I85="CO1","Concentradora A1",I85="CO2","Concentradora A2",I85="CB1","SAE Centralizado",I85="C71","Pl.Maestranza.Cent",I85="C72","Pl.Calderería.Cent",I85="C74","CONTRATOS METALMEC",I85="C40","Planif. Refinería",I85="SAPCI","SAPCI",TRUE,"Código no encontrado")</f>
        <v>Pl.Termoelec.Chuq.</v>
      </c>
      <c r="K85" s="1" t="s">
        <v>328</v>
      </c>
      <c r="L85" s="1" t="s">
        <v>329</v>
      </c>
      <c r="M85" s="1" t="s">
        <v>316</v>
      </c>
      <c r="N85" s="1" t="s">
        <v>146</v>
      </c>
      <c r="O85" s="41">
        <f>Tbl_PctTrabajoPlanificado[[#This Row],[Fecha inicio real]]-Tbl_PctTrabajoPlanificado[[#This Row],[Fecha Libera Orden]]</f>
        <v>0</v>
      </c>
      <c r="P85" s="3">
        <v>46164</v>
      </c>
      <c r="Q85" s="3">
        <v>46164</v>
      </c>
      <c r="R85" s="1" t="s">
        <v>23</v>
      </c>
      <c r="S85" s="13"/>
      <c r="T85" s="13"/>
      <c r="U85" s="7">
        <v>5.5</v>
      </c>
      <c r="V85" t="s">
        <v>695</v>
      </c>
    </row>
    <row r="86" spans="1:22" ht="15.75" thickBot="1" x14ac:dyDescent="0.3">
      <c r="A86" s="18" t="s">
        <v>203</v>
      </c>
      <c r="B86" s="1" t="s">
        <v>14</v>
      </c>
      <c r="C86" s="1" t="s">
        <v>37</v>
      </c>
      <c r="D86" s="1" t="s">
        <v>38</v>
      </c>
      <c r="E86" s="1" t="s">
        <v>46</v>
      </c>
      <c r="F86" s="1" t="s">
        <v>414</v>
      </c>
      <c r="G86" s="1" t="s">
        <v>148</v>
      </c>
      <c r="H86" s="1" t="s">
        <v>147</v>
      </c>
      <c r="I86" s="41" t="str">
        <f>VLOOKUP(Tbl_PctTrabajoPlanificado[[#This Row],[Orden mantenimiento]],Data!$E$2:$H$63,2,FALSE)</f>
        <v>C81</v>
      </c>
      <c r="J86" s="41" t="str" cm="1">
        <f t="array" ref="J86">_xlfn.IFS(I86="C81","Pl.Termoelec.Chuq.",I86="C82","Pl.Dist.Energ.Elec",I86="C89","Pl.Mant.Ind.Electr",I86="CO0","Concentradora A0",I86="CO1","Concentradora A1",I86="CO2","Concentradora A2",I86="CB1","SAE Centralizado",I86="C71","Pl.Maestranza.Cent",I86="C72","Pl.Calderería.Cent",I86="C74","CONTRATOS METALMEC",I86="C40","Planif. Refinería",I86="SAPCI","SAPCI",TRUE,"Código no encontrado")</f>
        <v>Pl.Termoelec.Chuq.</v>
      </c>
      <c r="K86" s="1" t="s">
        <v>330</v>
      </c>
      <c r="L86" s="1" t="s">
        <v>331</v>
      </c>
      <c r="M86" s="1" t="s">
        <v>316</v>
      </c>
      <c r="N86" s="1" t="s">
        <v>146</v>
      </c>
      <c r="O86" s="41">
        <f>Tbl_PctTrabajoPlanificado[[#This Row],[Fecha inicio real]]-Tbl_PctTrabajoPlanificado[[#This Row],[Fecha Libera Orden]]</f>
        <v>-1</v>
      </c>
      <c r="P86" s="3">
        <v>46164</v>
      </c>
      <c r="Q86" s="3">
        <v>46163</v>
      </c>
      <c r="R86" s="1" t="s">
        <v>23</v>
      </c>
      <c r="S86" s="12"/>
      <c r="T86" s="12"/>
      <c r="U86" s="9">
        <v>3</v>
      </c>
      <c r="V86" t="s">
        <v>695</v>
      </c>
    </row>
    <row r="87" spans="1:22" ht="15.75" thickBot="1" x14ac:dyDescent="0.3">
      <c r="A87" s="18" t="s">
        <v>203</v>
      </c>
      <c r="B87" s="1" t="s">
        <v>14</v>
      </c>
      <c r="C87" s="1" t="s">
        <v>37</v>
      </c>
      <c r="D87" s="1" t="s">
        <v>38</v>
      </c>
      <c r="E87" s="1" t="s">
        <v>46</v>
      </c>
      <c r="F87" s="1" t="s">
        <v>414</v>
      </c>
      <c r="G87" s="1" t="s">
        <v>148</v>
      </c>
      <c r="H87" s="1" t="s">
        <v>147</v>
      </c>
      <c r="I87" s="41" t="str">
        <f>VLOOKUP(Tbl_PctTrabajoPlanificado[[#This Row],[Orden mantenimiento]],Data!$E$2:$H$63,2,FALSE)</f>
        <v>C81</v>
      </c>
      <c r="J87" s="41" t="str" cm="1">
        <f t="array" ref="J87">_xlfn.IFS(I87="C81","Pl.Termoelec.Chuq.",I87="C82","Pl.Dist.Energ.Elec",I87="C89","Pl.Mant.Ind.Electr",I87="CO0","Concentradora A0",I87="CO1","Concentradora A1",I87="CO2","Concentradora A2",I87="CB1","SAE Centralizado",I87="C71","Pl.Maestranza.Cent",I87="C72","Pl.Calderería.Cent",I87="C74","CONTRATOS METALMEC",I87="C40","Planif. Refinería",I87="SAPCI","SAPCI",TRUE,"Código no encontrado")</f>
        <v>Pl.Termoelec.Chuq.</v>
      </c>
      <c r="K87" s="1" t="s">
        <v>332</v>
      </c>
      <c r="L87" s="1" t="s">
        <v>333</v>
      </c>
      <c r="M87" s="1" t="s">
        <v>316</v>
      </c>
      <c r="N87" s="1" t="s">
        <v>146</v>
      </c>
      <c r="O87" s="41">
        <f>Tbl_PctTrabajoPlanificado[[#This Row],[Fecha inicio real]]-Tbl_PctTrabajoPlanificado[[#This Row],[Fecha Libera Orden]]</f>
        <v>0</v>
      </c>
      <c r="P87" s="3">
        <v>46166</v>
      </c>
      <c r="Q87" s="3">
        <v>46166</v>
      </c>
      <c r="R87" s="1" t="s">
        <v>23</v>
      </c>
      <c r="S87" s="13"/>
      <c r="T87" s="13"/>
      <c r="U87" s="7">
        <v>4</v>
      </c>
      <c r="V87" t="s">
        <v>695</v>
      </c>
    </row>
    <row r="88" spans="1:22" ht="15.75" thickBot="1" x14ac:dyDescent="0.3">
      <c r="A88" s="18" t="s">
        <v>203</v>
      </c>
      <c r="B88" s="1" t="s">
        <v>14</v>
      </c>
      <c r="C88" s="1" t="s">
        <v>37</v>
      </c>
      <c r="D88" s="1" t="s">
        <v>38</v>
      </c>
      <c r="E88" s="1" t="s">
        <v>46</v>
      </c>
      <c r="F88" s="1" t="s">
        <v>414</v>
      </c>
      <c r="G88" s="1" t="s">
        <v>148</v>
      </c>
      <c r="H88" s="1" t="s">
        <v>147</v>
      </c>
      <c r="I88" s="41" t="str">
        <f>VLOOKUP(Tbl_PctTrabajoPlanificado[[#This Row],[Orden mantenimiento]],Data!$E$2:$H$63,2,FALSE)</f>
        <v>C81</v>
      </c>
      <c r="J88" s="41" t="str" cm="1">
        <f t="array" ref="J88">_xlfn.IFS(I88="C81","Pl.Termoelec.Chuq.",I88="C82","Pl.Dist.Energ.Elec",I88="C89","Pl.Mant.Ind.Electr",I88="CO0","Concentradora A0",I88="CO1","Concentradora A1",I88="CO2","Concentradora A2",I88="CB1","SAE Centralizado",I88="C71","Pl.Maestranza.Cent",I88="C72","Pl.Calderería.Cent",I88="C74","CONTRATOS METALMEC",I88="C40","Planif. Refinería",I88="SAPCI","SAPCI",TRUE,"Código no encontrado")</f>
        <v>Pl.Termoelec.Chuq.</v>
      </c>
      <c r="K88" s="1" t="s">
        <v>334</v>
      </c>
      <c r="L88" s="1" t="s">
        <v>335</v>
      </c>
      <c r="M88" s="1" t="s">
        <v>316</v>
      </c>
      <c r="N88" s="1" t="s">
        <v>146</v>
      </c>
      <c r="O88" s="41">
        <f>Tbl_PctTrabajoPlanificado[[#This Row],[Fecha inicio real]]-Tbl_PctTrabajoPlanificado[[#This Row],[Fecha Libera Orden]]</f>
        <v>-1</v>
      </c>
      <c r="P88" s="3">
        <v>46164</v>
      </c>
      <c r="Q88" s="3">
        <v>46163</v>
      </c>
      <c r="R88" s="1" t="s">
        <v>23</v>
      </c>
      <c r="S88" s="12"/>
      <c r="T88" s="12"/>
      <c r="U88" s="9">
        <v>3</v>
      </c>
      <c r="V88" t="s">
        <v>695</v>
      </c>
    </row>
    <row r="89" spans="1:22" ht="15.75" thickBot="1" x14ac:dyDescent="0.3">
      <c r="A89" s="18" t="s">
        <v>203</v>
      </c>
      <c r="B89" s="1" t="s">
        <v>14</v>
      </c>
      <c r="C89" s="1" t="s">
        <v>37</v>
      </c>
      <c r="D89" s="1" t="s">
        <v>38</v>
      </c>
      <c r="E89" s="1" t="s">
        <v>46</v>
      </c>
      <c r="F89" s="1" t="s">
        <v>414</v>
      </c>
      <c r="G89" s="1" t="s">
        <v>148</v>
      </c>
      <c r="H89" s="1" t="s">
        <v>147</v>
      </c>
      <c r="I89" s="41" t="str">
        <f>VLOOKUP(Tbl_PctTrabajoPlanificado[[#This Row],[Orden mantenimiento]],Data!$E$2:$H$63,2,FALSE)</f>
        <v>C81</v>
      </c>
      <c r="J89" s="41" t="str" cm="1">
        <f t="array" ref="J89">_xlfn.IFS(I89="C81","Pl.Termoelec.Chuq.",I89="C82","Pl.Dist.Energ.Elec",I89="C89","Pl.Mant.Ind.Electr",I89="CO0","Concentradora A0",I89="CO1","Concentradora A1",I89="CO2","Concentradora A2",I89="CB1","SAE Centralizado",I89="C71","Pl.Maestranza.Cent",I89="C72","Pl.Calderería.Cent",I89="C74","CONTRATOS METALMEC",I89="C40","Planif. Refinería",I89="SAPCI","SAPCI",TRUE,"Código no encontrado")</f>
        <v>Pl.Termoelec.Chuq.</v>
      </c>
      <c r="K89" s="1" t="s">
        <v>336</v>
      </c>
      <c r="L89" s="1" t="s">
        <v>337</v>
      </c>
      <c r="M89" s="1" t="s">
        <v>316</v>
      </c>
      <c r="N89" s="1" t="s">
        <v>146</v>
      </c>
      <c r="O89" s="41">
        <f>Tbl_PctTrabajoPlanificado[[#This Row],[Fecha inicio real]]-Tbl_PctTrabajoPlanificado[[#This Row],[Fecha Libera Orden]]</f>
        <v>0</v>
      </c>
      <c r="P89" s="3">
        <v>46163</v>
      </c>
      <c r="Q89" s="3">
        <v>46163</v>
      </c>
      <c r="R89" s="1" t="s">
        <v>23</v>
      </c>
      <c r="S89" s="13"/>
      <c r="T89" s="13"/>
      <c r="U89" s="7">
        <v>0.2</v>
      </c>
      <c r="V89" t="s">
        <v>695</v>
      </c>
    </row>
    <row r="90" spans="1:22" ht="15.75" thickBot="1" x14ac:dyDescent="0.3">
      <c r="A90" s="18" t="s">
        <v>203</v>
      </c>
      <c r="B90" s="1" t="s">
        <v>14</v>
      </c>
      <c r="C90" s="1" t="s">
        <v>37</v>
      </c>
      <c r="D90" s="1" t="s">
        <v>38</v>
      </c>
      <c r="E90" s="1" t="s">
        <v>46</v>
      </c>
      <c r="F90" s="1" t="s">
        <v>414</v>
      </c>
      <c r="G90" s="1" t="s">
        <v>148</v>
      </c>
      <c r="H90" s="1" t="s">
        <v>147</v>
      </c>
      <c r="I90" s="41" t="str">
        <f>VLOOKUP(Tbl_PctTrabajoPlanificado[[#This Row],[Orden mantenimiento]],Data!$E$2:$H$63,2,FALSE)</f>
        <v>C81</v>
      </c>
      <c r="J90" s="41" t="str" cm="1">
        <f t="array" ref="J90">_xlfn.IFS(I90="C81","Pl.Termoelec.Chuq.",I90="C82","Pl.Dist.Energ.Elec",I90="C89","Pl.Mant.Ind.Electr",I90="CO0","Concentradora A0",I90="CO1","Concentradora A1",I90="CO2","Concentradora A2",I90="CB1","SAE Centralizado",I90="C71","Pl.Maestranza.Cent",I90="C72","Pl.Calderería.Cent",I90="C74","CONTRATOS METALMEC",I90="C40","Planif. Refinería",I90="SAPCI","SAPCI",TRUE,"Código no encontrado")</f>
        <v>Pl.Termoelec.Chuq.</v>
      </c>
      <c r="K90" s="1" t="s">
        <v>338</v>
      </c>
      <c r="L90" s="1" t="s">
        <v>339</v>
      </c>
      <c r="M90" s="1" t="s">
        <v>316</v>
      </c>
      <c r="N90" s="1" t="s">
        <v>146</v>
      </c>
      <c r="O90" s="41">
        <f>Tbl_PctTrabajoPlanificado[[#This Row],[Fecha inicio real]]-Tbl_PctTrabajoPlanificado[[#This Row],[Fecha Libera Orden]]</f>
        <v>-1</v>
      </c>
      <c r="P90" s="3">
        <v>46164</v>
      </c>
      <c r="Q90" s="3">
        <v>46163</v>
      </c>
      <c r="R90" s="1" t="s">
        <v>23</v>
      </c>
      <c r="S90" s="12"/>
      <c r="T90" s="12"/>
      <c r="U90" s="9">
        <v>3</v>
      </c>
      <c r="V90" t="s">
        <v>695</v>
      </c>
    </row>
    <row r="91" spans="1:22" ht="15.75" thickBot="1" x14ac:dyDescent="0.3">
      <c r="A91" s="18" t="s">
        <v>203</v>
      </c>
      <c r="B91" s="1" t="s">
        <v>14</v>
      </c>
      <c r="C91" s="1" t="s">
        <v>37</v>
      </c>
      <c r="D91" s="1" t="s">
        <v>38</v>
      </c>
      <c r="E91" s="1" t="s">
        <v>46</v>
      </c>
      <c r="F91" s="1" t="s">
        <v>414</v>
      </c>
      <c r="G91" s="1" t="s">
        <v>148</v>
      </c>
      <c r="H91" s="1" t="s">
        <v>147</v>
      </c>
      <c r="I91" s="41" t="str">
        <f>VLOOKUP(Tbl_PctTrabajoPlanificado[[#This Row],[Orden mantenimiento]],Data!$E$2:$H$63,2,FALSE)</f>
        <v>C81</v>
      </c>
      <c r="J91" s="41" t="str" cm="1">
        <f t="array" ref="J91">_xlfn.IFS(I91="C81","Pl.Termoelec.Chuq.",I91="C82","Pl.Dist.Energ.Elec",I91="C89","Pl.Mant.Ind.Electr",I91="CO0","Concentradora A0",I91="CO1","Concentradora A1",I91="CO2","Concentradora A2",I91="CB1","SAE Centralizado",I91="C71","Pl.Maestranza.Cent",I91="C72","Pl.Calderería.Cent",I91="C74","CONTRATOS METALMEC",I91="C40","Planif. Refinería",I91="SAPCI","SAPCI",TRUE,"Código no encontrado")</f>
        <v>Pl.Termoelec.Chuq.</v>
      </c>
      <c r="K91" s="1" t="s">
        <v>340</v>
      </c>
      <c r="L91" s="1" t="s">
        <v>341</v>
      </c>
      <c r="M91" s="1" t="s">
        <v>342</v>
      </c>
      <c r="N91" s="1" t="s">
        <v>146</v>
      </c>
      <c r="O91" s="41">
        <f>Tbl_PctTrabajoPlanificado[[#This Row],[Fecha inicio real]]-Tbl_PctTrabajoPlanificado[[#This Row],[Fecha Libera Orden]]</f>
        <v>0</v>
      </c>
      <c r="P91" s="3">
        <v>46166</v>
      </c>
      <c r="Q91" s="3">
        <v>46166</v>
      </c>
      <c r="R91" s="1" t="s">
        <v>23</v>
      </c>
      <c r="S91" s="13"/>
      <c r="T91" s="13"/>
      <c r="U91" s="7">
        <v>0.2</v>
      </c>
      <c r="V91" t="s">
        <v>695</v>
      </c>
    </row>
    <row r="92" spans="1:22" ht="15.75" thickBot="1" x14ac:dyDescent="0.3">
      <c r="A92" s="18" t="s">
        <v>203</v>
      </c>
      <c r="B92" s="1" t="s">
        <v>14</v>
      </c>
      <c r="C92" s="1" t="s">
        <v>135</v>
      </c>
      <c r="D92" s="1" t="s">
        <v>136</v>
      </c>
      <c r="E92" s="1" t="s">
        <v>46</v>
      </c>
      <c r="F92" s="1" t="s">
        <v>414</v>
      </c>
      <c r="G92" s="1" t="s">
        <v>141</v>
      </c>
      <c r="H92" s="1" t="s">
        <v>140</v>
      </c>
      <c r="I92" s="41" t="str">
        <f>VLOOKUP(Tbl_PctTrabajoPlanificado[[#This Row],[Orden mantenimiento]],Data!$E$2:$H$63,2,FALSE)</f>
        <v>C81</v>
      </c>
      <c r="J92" s="41" t="str" cm="1">
        <f t="array" ref="J92">_xlfn.IFS(I92="C81","Pl.Termoelec.Chuq.",I92="C82","Pl.Dist.Energ.Elec",I92="C89","Pl.Mant.Ind.Electr",I92="CO0","Concentradora A0",I92="CO1","Concentradora A1",I92="CO2","Concentradora A2",I92="CB1","SAE Centralizado",I92="C71","Pl.Maestranza.Cent",I92="C72","Pl.Calderería.Cent",I92="C74","CONTRATOS METALMEC",I92="C40","Planif. Refinería",I92="SAPCI","SAPCI",TRUE,"Código no encontrado")</f>
        <v>Pl.Termoelec.Chuq.</v>
      </c>
      <c r="K92" s="1" t="s">
        <v>343</v>
      </c>
      <c r="L92" s="1" t="s">
        <v>344</v>
      </c>
      <c r="M92" s="1" t="s">
        <v>305</v>
      </c>
      <c r="N92" s="1" t="s">
        <v>42</v>
      </c>
      <c r="O92" s="41">
        <f>Tbl_PctTrabajoPlanificado[[#This Row],[Fecha inicio real]]-Tbl_PctTrabajoPlanificado[[#This Row],[Fecha Libera Orden]]</f>
        <v>18</v>
      </c>
      <c r="P92" s="3">
        <v>46147</v>
      </c>
      <c r="Q92" s="3">
        <v>46165</v>
      </c>
      <c r="R92" s="1" t="s">
        <v>345</v>
      </c>
      <c r="S92" s="6">
        <v>100</v>
      </c>
      <c r="T92" s="7">
        <v>16.5</v>
      </c>
      <c r="U92" s="7">
        <v>16.5</v>
      </c>
      <c r="V92" t="s">
        <v>694</v>
      </c>
    </row>
    <row r="93" spans="1:22" ht="15.75" thickBot="1" x14ac:dyDescent="0.3">
      <c r="A93" s="18" t="s">
        <v>203</v>
      </c>
      <c r="B93" s="1" t="s">
        <v>14</v>
      </c>
      <c r="C93" s="1" t="s">
        <v>135</v>
      </c>
      <c r="D93" s="1" t="s">
        <v>177</v>
      </c>
      <c r="E93" s="1" t="s">
        <v>30</v>
      </c>
      <c r="F93" s="1" t="s">
        <v>409</v>
      </c>
      <c r="G93" s="1" t="s">
        <v>141</v>
      </c>
      <c r="H93" s="1" t="s">
        <v>140</v>
      </c>
      <c r="I93" s="41" t="str">
        <f>VLOOKUP(Tbl_PctTrabajoPlanificado[[#This Row],[Orden mantenimiento]],Data!$E$2:$H$63,2,FALSE)</f>
        <v>C82</v>
      </c>
      <c r="J93" s="41" t="str" cm="1">
        <f t="array" ref="J93">_xlfn.IFS(I93="C81","Pl.Termoelec.Chuq.",I93="C82","Pl.Dist.Energ.Elec",I93="C89","Pl.Mant.Ind.Electr",I93="CO0","Concentradora A0",I93="CO1","Concentradora A1",I93="CO2","Concentradora A2",I93="CB1","SAE Centralizado",I93="C71","Pl.Maestranza.Cent",I93="C72","Pl.Calderería.Cent",I93="C74","CONTRATOS METALMEC",I93="C40","Planif. Refinería",I93="SAPCI","SAPCI",TRUE,"Código no encontrado")</f>
        <v>Pl.Dist.Energ.Elec</v>
      </c>
      <c r="K93" s="1" t="s">
        <v>346</v>
      </c>
      <c r="L93" s="1" t="s">
        <v>347</v>
      </c>
      <c r="M93" s="1" t="s">
        <v>206</v>
      </c>
      <c r="N93" s="1" t="s">
        <v>42</v>
      </c>
      <c r="O93" s="41">
        <f>Tbl_PctTrabajoPlanificado[[#This Row],[Fecha inicio real]]-Tbl_PctTrabajoPlanificado[[#This Row],[Fecha Libera Orden]]</f>
        <v>10</v>
      </c>
      <c r="P93" s="3">
        <v>46155</v>
      </c>
      <c r="Q93" s="3">
        <v>46165</v>
      </c>
      <c r="R93" s="1" t="s">
        <v>348</v>
      </c>
      <c r="S93" s="8">
        <v>100</v>
      </c>
      <c r="T93" s="9">
        <v>3</v>
      </c>
      <c r="U93" s="9">
        <v>3</v>
      </c>
      <c r="V93" t="s">
        <v>694</v>
      </c>
    </row>
    <row r="94" spans="1:22" ht="15.75" thickBot="1" x14ac:dyDescent="0.3">
      <c r="A94" s="18" t="s">
        <v>203</v>
      </c>
      <c r="B94" s="1" t="s">
        <v>14</v>
      </c>
      <c r="C94" s="1" t="s">
        <v>135</v>
      </c>
      <c r="D94" s="1" t="s">
        <v>177</v>
      </c>
      <c r="E94" s="1" t="s">
        <v>30</v>
      </c>
      <c r="F94" s="1" t="s">
        <v>409</v>
      </c>
      <c r="G94" s="1" t="s">
        <v>181</v>
      </c>
      <c r="H94" s="1" t="s">
        <v>180</v>
      </c>
      <c r="I94" s="41" t="str">
        <f>VLOOKUP(Tbl_PctTrabajoPlanificado[[#This Row],[Orden mantenimiento]],Data!$E$2:$H$63,2,FALSE)</f>
        <v>C82</v>
      </c>
      <c r="J94" s="41" t="str" cm="1">
        <f t="array" ref="J94">_xlfn.IFS(I94="C81","Pl.Termoelec.Chuq.",I94="C82","Pl.Dist.Energ.Elec",I94="C89","Pl.Mant.Ind.Electr",I94="CO0","Concentradora A0",I94="CO1","Concentradora A1",I94="CO2","Concentradora A2",I94="CB1","SAE Centralizado",I94="C71","Pl.Maestranza.Cent",I94="C72","Pl.Calderería.Cent",I94="C74","CONTRATOS METALMEC",I94="C40","Planif. Refinería",I94="SAPCI","SAPCI",TRUE,"Código no encontrado")</f>
        <v>Pl.Dist.Energ.Elec</v>
      </c>
      <c r="K94" s="1" t="s">
        <v>349</v>
      </c>
      <c r="L94" s="1" t="s">
        <v>350</v>
      </c>
      <c r="M94" s="1" t="s">
        <v>214</v>
      </c>
      <c r="N94" s="1" t="s">
        <v>42</v>
      </c>
      <c r="O94" s="41">
        <f>Tbl_PctTrabajoPlanificado[[#This Row],[Fecha inicio real]]-Tbl_PctTrabajoPlanificado[[#This Row],[Fecha Libera Orden]]</f>
        <v>8</v>
      </c>
      <c r="P94" s="3">
        <v>46155</v>
      </c>
      <c r="Q94" s="3">
        <v>46163</v>
      </c>
      <c r="R94" s="1" t="s">
        <v>348</v>
      </c>
      <c r="S94" s="6">
        <v>100</v>
      </c>
      <c r="T94" s="7">
        <v>3</v>
      </c>
      <c r="U94" s="7">
        <v>3</v>
      </c>
      <c r="V94" t="s">
        <v>694</v>
      </c>
    </row>
    <row r="95" spans="1:22" ht="15.75" thickBot="1" x14ac:dyDescent="0.3">
      <c r="A95" s="18" t="s">
        <v>203</v>
      </c>
      <c r="B95" s="1" t="s">
        <v>14</v>
      </c>
      <c r="C95" s="1" t="s">
        <v>135</v>
      </c>
      <c r="D95" s="1" t="s">
        <v>177</v>
      </c>
      <c r="E95" s="1" t="s">
        <v>30</v>
      </c>
      <c r="F95" s="1" t="s">
        <v>409</v>
      </c>
      <c r="G95" s="1" t="s">
        <v>181</v>
      </c>
      <c r="H95" s="1" t="s">
        <v>180</v>
      </c>
      <c r="I95" s="41" t="str">
        <f>VLOOKUP(Tbl_PctTrabajoPlanificado[[#This Row],[Orden mantenimiento]],Data!$E$2:$H$63,2,FALSE)</f>
        <v>C82</v>
      </c>
      <c r="J95" s="41" t="str" cm="1">
        <f t="array" ref="J95">_xlfn.IFS(I95="C81","Pl.Termoelec.Chuq.",I95="C82","Pl.Dist.Energ.Elec",I95="C89","Pl.Mant.Ind.Electr",I95="CO0","Concentradora A0",I95="CO1","Concentradora A1",I95="CO2","Concentradora A2",I95="CB1","SAE Centralizado",I95="C71","Pl.Maestranza.Cent",I95="C72","Pl.Calderería.Cent",I95="C74","CONTRATOS METALMEC",I95="C40","Planif. Refinería",I95="SAPCI","SAPCI",TRUE,"Código no encontrado")</f>
        <v>Pl.Dist.Energ.Elec</v>
      </c>
      <c r="K95" s="1" t="s">
        <v>351</v>
      </c>
      <c r="L95" s="1" t="s">
        <v>352</v>
      </c>
      <c r="M95" s="1" t="s">
        <v>206</v>
      </c>
      <c r="N95" s="1" t="s">
        <v>42</v>
      </c>
      <c r="O95" s="41">
        <f>Tbl_PctTrabajoPlanificado[[#This Row],[Fecha inicio real]]-Tbl_PctTrabajoPlanificado[[#This Row],[Fecha Libera Orden]]</f>
        <v>9</v>
      </c>
      <c r="P95" s="3">
        <v>46155</v>
      </c>
      <c r="Q95" s="3">
        <v>46164</v>
      </c>
      <c r="R95" s="1" t="s">
        <v>348</v>
      </c>
      <c r="S95" s="8">
        <v>100</v>
      </c>
      <c r="T95" s="9">
        <v>3</v>
      </c>
      <c r="U95" s="9">
        <v>3</v>
      </c>
      <c r="V95" t="s">
        <v>694</v>
      </c>
    </row>
    <row r="96" spans="1:22" ht="15.75" thickBot="1" x14ac:dyDescent="0.3">
      <c r="A96" s="18" t="s">
        <v>203</v>
      </c>
      <c r="B96" s="1" t="s">
        <v>14</v>
      </c>
      <c r="C96" s="1" t="s">
        <v>135</v>
      </c>
      <c r="D96" s="1" t="s">
        <v>353</v>
      </c>
      <c r="E96" s="1" t="s">
        <v>30</v>
      </c>
      <c r="F96" s="1" t="s">
        <v>409</v>
      </c>
      <c r="G96" s="1" t="s">
        <v>44</v>
      </c>
      <c r="H96" s="1" t="s">
        <v>43</v>
      </c>
      <c r="I96" s="41" t="str">
        <f>VLOOKUP(Tbl_PctTrabajoPlanificado[[#This Row],[Orden mantenimiento]],Data!$E$2:$H$63,2,FALSE)</f>
        <v>C82</v>
      </c>
      <c r="J96" s="41" t="str" cm="1">
        <f t="array" ref="J96">_xlfn.IFS(I96="C81","Pl.Termoelec.Chuq.",I96="C82","Pl.Dist.Energ.Elec",I96="C89","Pl.Mant.Ind.Electr",I96="CO0","Concentradora A0",I96="CO1","Concentradora A1",I96="CO2","Concentradora A2",I96="CB1","SAE Centralizado",I96="C71","Pl.Maestranza.Cent",I96="C72","Pl.Calderería.Cent",I96="C74","CONTRATOS METALMEC",I96="C40","Planif. Refinería",I96="SAPCI","SAPCI",TRUE,"Código no encontrado")</f>
        <v>Pl.Dist.Energ.Elec</v>
      </c>
      <c r="K96" s="1" t="s">
        <v>354</v>
      </c>
      <c r="L96" s="1" t="s">
        <v>355</v>
      </c>
      <c r="M96" s="1" t="s">
        <v>206</v>
      </c>
      <c r="N96" s="1" t="s">
        <v>42</v>
      </c>
      <c r="O96" s="41">
        <f>Tbl_PctTrabajoPlanificado[[#This Row],[Fecha inicio real]]-Tbl_PctTrabajoPlanificado[[#This Row],[Fecha Libera Orden]]</f>
        <v>25</v>
      </c>
      <c r="P96" s="3">
        <v>46137</v>
      </c>
      <c r="Q96" s="3">
        <v>46162</v>
      </c>
      <c r="R96" s="1" t="s">
        <v>207</v>
      </c>
      <c r="S96" s="6">
        <v>100</v>
      </c>
      <c r="T96" s="7">
        <v>2</v>
      </c>
      <c r="U96" s="7">
        <v>2</v>
      </c>
      <c r="V96" t="s">
        <v>694</v>
      </c>
    </row>
    <row r="97" spans="1:22" ht="15.75" thickBot="1" x14ac:dyDescent="0.3">
      <c r="A97" s="18" t="s">
        <v>203</v>
      </c>
      <c r="B97" s="1" t="s">
        <v>14</v>
      </c>
      <c r="C97" s="1" t="s">
        <v>135</v>
      </c>
      <c r="D97" s="1" t="s">
        <v>353</v>
      </c>
      <c r="E97" s="1" t="s">
        <v>30</v>
      </c>
      <c r="F97" s="1" t="s">
        <v>409</v>
      </c>
      <c r="G97" s="1" t="s">
        <v>44</v>
      </c>
      <c r="H97" s="1" t="s">
        <v>43</v>
      </c>
      <c r="I97" s="41" t="str">
        <f>VLOOKUP(Tbl_PctTrabajoPlanificado[[#This Row],[Orden mantenimiento]],Data!$E$2:$H$63,2,FALSE)</f>
        <v>C82</v>
      </c>
      <c r="J97" s="41" t="str" cm="1">
        <f t="array" ref="J97">_xlfn.IFS(I97="C81","Pl.Termoelec.Chuq.",I97="C82","Pl.Dist.Energ.Elec",I97="C89","Pl.Mant.Ind.Electr",I97="CO0","Concentradora A0",I97="CO1","Concentradora A1",I97="CO2","Concentradora A2",I97="CB1","SAE Centralizado",I97="C71","Pl.Maestranza.Cent",I97="C72","Pl.Calderería.Cent",I97="C74","CONTRATOS METALMEC",I97="C40","Planif. Refinería",I97="SAPCI","SAPCI",TRUE,"Código no encontrado")</f>
        <v>Pl.Dist.Energ.Elec</v>
      </c>
      <c r="K97" s="1" t="s">
        <v>356</v>
      </c>
      <c r="L97" s="1" t="s">
        <v>357</v>
      </c>
      <c r="M97" s="1" t="s">
        <v>206</v>
      </c>
      <c r="N97" s="1" t="s">
        <v>42</v>
      </c>
      <c r="O97" s="41">
        <f>Tbl_PctTrabajoPlanificado[[#This Row],[Fecha inicio real]]-Tbl_PctTrabajoPlanificado[[#This Row],[Fecha Libera Orden]]</f>
        <v>25</v>
      </c>
      <c r="P97" s="3">
        <v>46137</v>
      </c>
      <c r="Q97" s="3">
        <v>46162</v>
      </c>
      <c r="R97" s="1" t="s">
        <v>207</v>
      </c>
      <c r="S97" s="8">
        <v>100</v>
      </c>
      <c r="T97" s="9">
        <v>2</v>
      </c>
      <c r="U97" s="9">
        <v>2</v>
      </c>
      <c r="V97" t="s">
        <v>694</v>
      </c>
    </row>
    <row r="98" spans="1:22" ht="15.75" thickBot="1" x14ac:dyDescent="0.3">
      <c r="A98" s="14" t="s">
        <v>31</v>
      </c>
      <c r="B98" s="14"/>
      <c r="C98" s="14"/>
      <c r="D98" s="14"/>
      <c r="E98" s="14"/>
      <c r="F98" s="14"/>
      <c r="G98" s="14"/>
      <c r="H98" s="14"/>
      <c r="I98" s="42"/>
      <c r="J98" s="42" t="str" cm="1">
        <f t="array" ref="J98">_xlfn.IFS(I98="C81","Pl.Termoelec.Chuq.",I98="C82","Pl.Dist.Energ.Elec",I98="C89","Pl.Mant.Ind.Electr",I98="CO0","Concentradora A0",I98="CO1","Concentradora A1",I98="CO2","Concentradora A2",I98="CB1","SAE Centralizado",I98="C71","Pl.Maestranza.Cent",I98="C72","Pl.Calderería.Cent",I98="C74","CONTRATOS METALMEC",I98="C40","Planif. Refinería",I98="SAPCI","SAPCI",TRUE,"Código no encontrado")</f>
        <v>Código no encontrado</v>
      </c>
      <c r="K98" s="14"/>
      <c r="L98" s="14"/>
      <c r="M98" s="14"/>
      <c r="N98" s="14"/>
      <c r="O98" s="42">
        <f>Tbl_PctTrabajoPlanificado[[#This Row],[Fecha inicio real]]-Tbl_PctTrabajoPlanificado[[#This Row],[Fecha Libera Orden]]</f>
        <v>0</v>
      </c>
      <c r="P98" s="14"/>
      <c r="Q98" s="14"/>
      <c r="R98" s="15"/>
      <c r="S98" s="10">
        <v>96.762849413886386</v>
      </c>
      <c r="T98" s="11">
        <v>1073.0999999999999</v>
      </c>
      <c r="U98" s="11">
        <v>1109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CF0B1-AEC7-4025-B355-905FA4328ED2}">
  <dimension ref="A1:R78"/>
  <sheetViews>
    <sheetView topLeftCell="A57" workbookViewId="0">
      <selection activeCell="E84" sqref="E84"/>
    </sheetView>
  </sheetViews>
  <sheetFormatPr baseColWidth="10" defaultRowHeight="15" x14ac:dyDescent="0.25"/>
  <cols>
    <col min="1" max="1" width="43.140625" customWidth="1"/>
    <col min="2" max="2" width="12.28515625" customWidth="1"/>
    <col min="3" max="3" width="15.28515625" customWidth="1"/>
    <col min="4" max="4" width="22.140625" customWidth="1"/>
    <col min="5" max="5" width="26.140625" customWidth="1"/>
    <col min="6" max="6" width="23.5703125" customWidth="1"/>
    <col min="7" max="7" width="34.7109375" customWidth="1"/>
    <col min="8" max="8" width="13.5703125" customWidth="1"/>
    <col min="9" max="9" width="18.42578125" customWidth="1"/>
    <col min="10" max="11" width="13.28515625" customWidth="1"/>
    <col min="12" max="12" width="38.42578125" customWidth="1"/>
    <col min="13" max="13" width="13.28515625" customWidth="1"/>
    <col min="14" max="14" width="28.5703125" customWidth="1"/>
    <col min="15" max="15" width="29.7109375" customWidth="1"/>
    <col min="16" max="16" width="20.7109375" customWidth="1"/>
    <col min="17" max="17" width="21" customWidth="1"/>
  </cols>
  <sheetData>
    <row r="1" spans="1:18" ht="23.25" thickBot="1" x14ac:dyDescent="0.3">
      <c r="A1" s="16" t="s">
        <v>9</v>
      </c>
      <c r="B1" s="18" t="s">
        <v>701</v>
      </c>
      <c r="C1" s="1" t="s">
        <v>361</v>
      </c>
      <c r="D1" s="1" t="s">
        <v>1</v>
      </c>
      <c r="E1" s="1" t="s">
        <v>2</v>
      </c>
      <c r="F1" s="1" t="s">
        <v>3</v>
      </c>
      <c r="G1" s="17" t="s">
        <v>11</v>
      </c>
      <c r="H1" s="18" t="s">
        <v>690</v>
      </c>
      <c r="I1" s="17" t="s">
        <v>34</v>
      </c>
      <c r="J1" s="18" t="s">
        <v>691</v>
      </c>
      <c r="K1" s="17" t="s">
        <v>10</v>
      </c>
      <c r="L1" s="18" t="s">
        <v>692</v>
      </c>
      <c r="M1" s="1" t="s">
        <v>33</v>
      </c>
      <c r="N1" s="1" t="s">
        <v>7</v>
      </c>
      <c r="O1" s="22" t="s">
        <v>358</v>
      </c>
      <c r="P1" s="22" t="s">
        <v>359</v>
      </c>
      <c r="Q1" s="23" t="s">
        <v>360</v>
      </c>
      <c r="R1" s="22" t="s">
        <v>417</v>
      </c>
    </row>
    <row r="2" spans="1:18" ht="15.75" thickBot="1" x14ac:dyDescent="0.3">
      <c r="A2" s="18" t="s">
        <v>22</v>
      </c>
      <c r="B2" s="1" t="s">
        <v>407</v>
      </c>
      <c r="C2" s="1" t="s">
        <v>203</v>
      </c>
      <c r="D2" s="1" t="s">
        <v>14</v>
      </c>
      <c r="E2" s="1" t="s">
        <v>15</v>
      </c>
      <c r="F2" s="1" t="s">
        <v>149</v>
      </c>
      <c r="G2" s="1" t="s">
        <v>30</v>
      </c>
      <c r="H2" s="1" t="s">
        <v>409</v>
      </c>
      <c r="I2" s="1" t="s">
        <v>43</v>
      </c>
      <c r="J2" s="1" t="s">
        <v>44</v>
      </c>
      <c r="K2" s="1" t="s">
        <v>204</v>
      </c>
      <c r="L2" s="1" t="s">
        <v>205</v>
      </c>
      <c r="M2" s="1" t="s">
        <v>42</v>
      </c>
      <c r="N2" s="1" t="s">
        <v>206</v>
      </c>
      <c r="O2" s="6">
        <v>100</v>
      </c>
      <c r="P2" s="4">
        <v>1</v>
      </c>
      <c r="Q2" s="29">
        <v>1</v>
      </c>
      <c r="R2" t="s">
        <v>702</v>
      </c>
    </row>
    <row r="3" spans="1:18" ht="15.75" thickBot="1" x14ac:dyDescent="0.3">
      <c r="A3" s="18" t="s">
        <v>22</v>
      </c>
      <c r="B3" s="1" t="s">
        <v>407</v>
      </c>
      <c r="C3" s="1" t="s">
        <v>203</v>
      </c>
      <c r="D3" s="1" t="s">
        <v>14</v>
      </c>
      <c r="E3" s="1" t="s">
        <v>15</v>
      </c>
      <c r="F3" s="1" t="s">
        <v>149</v>
      </c>
      <c r="G3" s="1" t="s">
        <v>30</v>
      </c>
      <c r="H3" s="1" t="s">
        <v>409</v>
      </c>
      <c r="I3" s="1" t="s">
        <v>43</v>
      </c>
      <c r="J3" s="1" t="s">
        <v>44</v>
      </c>
      <c r="K3" s="1" t="s">
        <v>362</v>
      </c>
      <c r="L3" s="1" t="s">
        <v>363</v>
      </c>
      <c r="M3" s="1" t="s">
        <v>42</v>
      </c>
      <c r="N3" s="1" t="s">
        <v>364</v>
      </c>
      <c r="O3" s="8">
        <v>100</v>
      </c>
      <c r="P3" s="5">
        <v>1</v>
      </c>
      <c r="Q3" s="30">
        <v>1</v>
      </c>
      <c r="R3" t="s">
        <v>702</v>
      </c>
    </row>
    <row r="4" spans="1:18" ht="15.75" thickBot="1" x14ac:dyDescent="0.3">
      <c r="A4" s="18" t="s">
        <v>22</v>
      </c>
      <c r="B4" s="1" t="s">
        <v>407</v>
      </c>
      <c r="C4" s="1" t="s">
        <v>203</v>
      </c>
      <c r="D4" s="1" t="s">
        <v>14</v>
      </c>
      <c r="E4" s="1" t="s">
        <v>15</v>
      </c>
      <c r="F4" s="1" t="s">
        <v>149</v>
      </c>
      <c r="G4" s="1" t="s">
        <v>30</v>
      </c>
      <c r="H4" s="1" t="s">
        <v>409</v>
      </c>
      <c r="I4" s="1" t="s">
        <v>43</v>
      </c>
      <c r="J4" s="1" t="s">
        <v>44</v>
      </c>
      <c r="K4" s="1" t="s">
        <v>208</v>
      </c>
      <c r="L4" s="1" t="s">
        <v>209</v>
      </c>
      <c r="M4" s="1" t="s">
        <v>42</v>
      </c>
      <c r="N4" s="1" t="s">
        <v>210</v>
      </c>
      <c r="O4" s="6">
        <v>100</v>
      </c>
      <c r="P4" s="4">
        <v>1</v>
      </c>
      <c r="Q4" s="29">
        <v>1</v>
      </c>
      <c r="R4" t="s">
        <v>702</v>
      </c>
    </row>
    <row r="5" spans="1:18" ht="15.75" thickBot="1" x14ac:dyDescent="0.3">
      <c r="A5" s="18" t="s">
        <v>22</v>
      </c>
      <c r="B5" s="1" t="s">
        <v>407</v>
      </c>
      <c r="C5" s="1" t="s">
        <v>203</v>
      </c>
      <c r="D5" s="1" t="s">
        <v>14</v>
      </c>
      <c r="E5" s="1" t="s">
        <v>15</v>
      </c>
      <c r="F5" s="1" t="s">
        <v>149</v>
      </c>
      <c r="G5" s="1" t="s">
        <v>30</v>
      </c>
      <c r="H5" s="1" t="s">
        <v>409</v>
      </c>
      <c r="I5" s="1" t="s">
        <v>140</v>
      </c>
      <c r="J5" s="1" t="s">
        <v>141</v>
      </c>
      <c r="K5" s="1" t="s">
        <v>365</v>
      </c>
      <c r="L5" s="1" t="s">
        <v>366</v>
      </c>
      <c r="M5" s="1" t="s">
        <v>42</v>
      </c>
      <c r="N5" s="1" t="s">
        <v>367</v>
      </c>
      <c r="O5" s="8">
        <v>0</v>
      </c>
      <c r="P5" s="5">
        <v>0</v>
      </c>
      <c r="Q5" s="30">
        <v>1</v>
      </c>
      <c r="R5" t="s">
        <v>703</v>
      </c>
    </row>
    <row r="6" spans="1:18" ht="15.75" thickBot="1" x14ac:dyDescent="0.3">
      <c r="A6" s="18" t="s">
        <v>22</v>
      </c>
      <c r="B6" s="1" t="s">
        <v>407</v>
      </c>
      <c r="C6" s="1" t="s">
        <v>203</v>
      </c>
      <c r="D6" s="1" t="s">
        <v>14</v>
      </c>
      <c r="E6" s="1" t="s">
        <v>15</v>
      </c>
      <c r="F6" s="1" t="s">
        <v>16</v>
      </c>
      <c r="G6" s="1" t="s">
        <v>30</v>
      </c>
      <c r="H6" s="1" t="s">
        <v>409</v>
      </c>
      <c r="I6" s="1" t="s">
        <v>43</v>
      </c>
      <c r="J6" s="1" t="s">
        <v>44</v>
      </c>
      <c r="K6" s="1" t="s">
        <v>230</v>
      </c>
      <c r="L6" s="1" t="s">
        <v>231</v>
      </c>
      <c r="M6" s="1" t="s">
        <v>42</v>
      </c>
      <c r="N6" s="1" t="s">
        <v>214</v>
      </c>
      <c r="O6" s="8">
        <v>100</v>
      </c>
      <c r="P6" s="5">
        <v>1</v>
      </c>
      <c r="Q6" s="30">
        <v>1</v>
      </c>
      <c r="R6" t="s">
        <v>702</v>
      </c>
    </row>
    <row r="7" spans="1:18" ht="15.75" thickBot="1" x14ac:dyDescent="0.3">
      <c r="A7" s="18" t="s">
        <v>22</v>
      </c>
      <c r="B7" s="1" t="s">
        <v>407</v>
      </c>
      <c r="C7" s="1" t="s">
        <v>203</v>
      </c>
      <c r="D7" s="1" t="s">
        <v>14</v>
      </c>
      <c r="E7" s="1" t="s">
        <v>15</v>
      </c>
      <c r="F7" s="1" t="s">
        <v>16</v>
      </c>
      <c r="G7" s="1" t="s">
        <v>30</v>
      </c>
      <c r="H7" s="1" t="s">
        <v>409</v>
      </c>
      <c r="I7" s="1" t="s">
        <v>43</v>
      </c>
      <c r="J7" s="1" t="s">
        <v>44</v>
      </c>
      <c r="K7" s="1" t="s">
        <v>233</v>
      </c>
      <c r="L7" s="1" t="s">
        <v>234</v>
      </c>
      <c r="M7" s="1" t="s">
        <v>42</v>
      </c>
      <c r="N7" s="1" t="s">
        <v>214</v>
      </c>
      <c r="O7" s="6">
        <v>100</v>
      </c>
      <c r="P7" s="4">
        <v>1</v>
      </c>
      <c r="Q7" s="29">
        <v>1</v>
      </c>
      <c r="R7" t="s">
        <v>702</v>
      </c>
    </row>
    <row r="8" spans="1:18" ht="15.75" thickBot="1" x14ac:dyDescent="0.3">
      <c r="A8" s="18" t="s">
        <v>22</v>
      </c>
      <c r="B8" s="1" t="s">
        <v>407</v>
      </c>
      <c r="C8" s="1" t="s">
        <v>203</v>
      </c>
      <c r="D8" s="1" t="s">
        <v>14</v>
      </c>
      <c r="E8" s="1" t="s">
        <v>15</v>
      </c>
      <c r="F8" s="1" t="s">
        <v>16</v>
      </c>
      <c r="G8" s="1" t="s">
        <v>30</v>
      </c>
      <c r="H8" s="1" t="s">
        <v>409</v>
      </c>
      <c r="I8" s="1" t="s">
        <v>43</v>
      </c>
      <c r="J8" s="1" t="s">
        <v>44</v>
      </c>
      <c r="K8" s="1" t="s">
        <v>236</v>
      </c>
      <c r="L8" s="1" t="s">
        <v>237</v>
      </c>
      <c r="M8" s="1" t="s">
        <v>42</v>
      </c>
      <c r="N8" s="1" t="s">
        <v>214</v>
      </c>
      <c r="O8" s="8">
        <v>100</v>
      </c>
      <c r="P8" s="5">
        <v>1</v>
      </c>
      <c r="Q8" s="30">
        <v>1</v>
      </c>
      <c r="R8" t="s">
        <v>702</v>
      </c>
    </row>
    <row r="9" spans="1:18" ht="15.75" thickBot="1" x14ac:dyDescent="0.3">
      <c r="A9" s="18" t="s">
        <v>22</v>
      </c>
      <c r="B9" s="1" t="s">
        <v>407</v>
      </c>
      <c r="C9" s="1" t="s">
        <v>203</v>
      </c>
      <c r="D9" s="1" t="s">
        <v>14</v>
      </c>
      <c r="E9" s="1" t="s">
        <v>15</v>
      </c>
      <c r="F9" s="1" t="s">
        <v>16</v>
      </c>
      <c r="G9" s="1" t="s">
        <v>30</v>
      </c>
      <c r="H9" s="1" t="s">
        <v>409</v>
      </c>
      <c r="I9" s="1" t="s">
        <v>43</v>
      </c>
      <c r="J9" s="1" t="s">
        <v>44</v>
      </c>
      <c r="K9" s="1" t="s">
        <v>239</v>
      </c>
      <c r="L9" s="1" t="s">
        <v>240</v>
      </c>
      <c r="M9" s="1" t="s">
        <v>42</v>
      </c>
      <c r="N9" s="1" t="s">
        <v>214</v>
      </c>
      <c r="O9" s="6">
        <v>100</v>
      </c>
      <c r="P9" s="4">
        <v>1</v>
      </c>
      <c r="Q9" s="29">
        <v>1</v>
      </c>
      <c r="R9" t="s">
        <v>702</v>
      </c>
    </row>
    <row r="10" spans="1:18" ht="15.75" thickBot="1" x14ac:dyDescent="0.3">
      <c r="A10" s="18" t="s">
        <v>22</v>
      </c>
      <c r="B10" s="1" t="s">
        <v>407</v>
      </c>
      <c r="C10" s="1" t="s">
        <v>203</v>
      </c>
      <c r="D10" s="1" t="s">
        <v>14</v>
      </c>
      <c r="E10" s="1" t="s">
        <v>15</v>
      </c>
      <c r="F10" s="1" t="s">
        <v>16</v>
      </c>
      <c r="G10" s="1" t="s">
        <v>30</v>
      </c>
      <c r="H10" s="1" t="s">
        <v>409</v>
      </c>
      <c r="I10" s="1" t="s">
        <v>180</v>
      </c>
      <c r="J10" s="1" t="s">
        <v>181</v>
      </c>
      <c r="K10" s="1" t="s">
        <v>222</v>
      </c>
      <c r="L10" s="1" t="s">
        <v>223</v>
      </c>
      <c r="M10" s="1" t="s">
        <v>42</v>
      </c>
      <c r="N10" s="1" t="s">
        <v>214</v>
      </c>
      <c r="O10" s="8">
        <v>100</v>
      </c>
      <c r="P10" s="5">
        <v>1</v>
      </c>
      <c r="Q10" s="30">
        <v>1</v>
      </c>
      <c r="R10" t="s">
        <v>702</v>
      </c>
    </row>
    <row r="11" spans="1:18" ht="15.75" thickBot="1" x14ac:dyDescent="0.3">
      <c r="A11" s="18" t="s">
        <v>22</v>
      </c>
      <c r="B11" s="1" t="s">
        <v>407</v>
      </c>
      <c r="C11" s="1" t="s">
        <v>203</v>
      </c>
      <c r="D11" s="1" t="s">
        <v>14</v>
      </c>
      <c r="E11" s="1" t="s">
        <v>15</v>
      </c>
      <c r="F11" s="1" t="s">
        <v>16</v>
      </c>
      <c r="G11" s="1" t="s">
        <v>30</v>
      </c>
      <c r="H11" s="1" t="s">
        <v>409</v>
      </c>
      <c r="I11" s="1" t="s">
        <v>180</v>
      </c>
      <c r="J11" s="1" t="s">
        <v>181</v>
      </c>
      <c r="K11" s="1" t="s">
        <v>225</v>
      </c>
      <c r="L11" s="1" t="s">
        <v>226</v>
      </c>
      <c r="M11" s="1" t="s">
        <v>42</v>
      </c>
      <c r="N11" s="1" t="s">
        <v>214</v>
      </c>
      <c r="O11" s="6">
        <v>100</v>
      </c>
      <c r="P11" s="4">
        <v>1</v>
      </c>
      <c r="Q11" s="29">
        <v>1</v>
      </c>
      <c r="R11" t="s">
        <v>702</v>
      </c>
    </row>
    <row r="12" spans="1:18" ht="15.75" thickBot="1" x14ac:dyDescent="0.3">
      <c r="A12" s="18" t="s">
        <v>22</v>
      </c>
      <c r="B12" s="1" t="s">
        <v>407</v>
      </c>
      <c r="C12" s="1" t="s">
        <v>203</v>
      </c>
      <c r="D12" s="1" t="s">
        <v>14</v>
      </c>
      <c r="E12" s="1" t="s">
        <v>15</v>
      </c>
      <c r="F12" s="1" t="s">
        <v>16</v>
      </c>
      <c r="G12" s="1" t="s">
        <v>30</v>
      </c>
      <c r="H12" s="1" t="s">
        <v>409</v>
      </c>
      <c r="I12" s="1" t="s">
        <v>180</v>
      </c>
      <c r="J12" s="1" t="s">
        <v>181</v>
      </c>
      <c r="K12" s="1" t="s">
        <v>227</v>
      </c>
      <c r="L12" s="1" t="s">
        <v>228</v>
      </c>
      <c r="M12" s="1" t="s">
        <v>42</v>
      </c>
      <c r="N12" s="1" t="s">
        <v>214</v>
      </c>
      <c r="O12" s="8">
        <v>100</v>
      </c>
      <c r="P12" s="5">
        <v>1</v>
      </c>
      <c r="Q12" s="30">
        <v>1</v>
      </c>
      <c r="R12" t="s">
        <v>702</v>
      </c>
    </row>
    <row r="13" spans="1:18" ht="15.75" thickBot="1" x14ac:dyDescent="0.3">
      <c r="A13" s="18" t="s">
        <v>22</v>
      </c>
      <c r="B13" s="1" t="s">
        <v>407</v>
      </c>
      <c r="C13" s="1" t="s">
        <v>203</v>
      </c>
      <c r="D13" s="1" t="s">
        <v>14</v>
      </c>
      <c r="E13" s="1" t="s">
        <v>15</v>
      </c>
      <c r="F13" s="1" t="s">
        <v>16</v>
      </c>
      <c r="G13" s="1" t="s">
        <v>30</v>
      </c>
      <c r="H13" s="1" t="s">
        <v>409</v>
      </c>
      <c r="I13" s="1" t="s">
        <v>140</v>
      </c>
      <c r="J13" s="1" t="s">
        <v>141</v>
      </c>
      <c r="K13" s="1" t="s">
        <v>368</v>
      </c>
      <c r="L13" s="1" t="s">
        <v>369</v>
      </c>
      <c r="M13" s="1" t="s">
        <v>42</v>
      </c>
      <c r="N13" s="1" t="s">
        <v>370</v>
      </c>
      <c r="O13" s="6">
        <v>0</v>
      </c>
      <c r="P13" s="4">
        <v>0</v>
      </c>
      <c r="Q13" s="29">
        <v>3</v>
      </c>
      <c r="R13" t="s">
        <v>703</v>
      </c>
    </row>
    <row r="14" spans="1:18" ht="15.75" thickBot="1" x14ac:dyDescent="0.3">
      <c r="A14" s="18" t="s">
        <v>22</v>
      </c>
      <c r="B14" s="1" t="s">
        <v>407</v>
      </c>
      <c r="C14" s="1" t="s">
        <v>203</v>
      </c>
      <c r="D14" s="1" t="s">
        <v>14</v>
      </c>
      <c r="E14" s="1" t="s">
        <v>15</v>
      </c>
      <c r="F14" s="1" t="s">
        <v>16</v>
      </c>
      <c r="G14" s="1" t="s">
        <v>30</v>
      </c>
      <c r="H14" s="1" t="s">
        <v>409</v>
      </c>
      <c r="I14" s="1" t="s">
        <v>140</v>
      </c>
      <c r="J14" s="1" t="s">
        <v>141</v>
      </c>
      <c r="K14" s="1" t="s">
        <v>211</v>
      </c>
      <c r="L14" s="1" t="s">
        <v>212</v>
      </c>
      <c r="M14" s="1" t="s">
        <v>42</v>
      </c>
      <c r="N14" s="1" t="s">
        <v>206</v>
      </c>
      <c r="O14" s="8">
        <v>100</v>
      </c>
      <c r="P14" s="5">
        <v>1</v>
      </c>
      <c r="Q14" s="30">
        <v>1</v>
      </c>
      <c r="R14" t="s">
        <v>702</v>
      </c>
    </row>
    <row r="15" spans="1:18" ht="15.75" thickBot="1" x14ac:dyDescent="0.3">
      <c r="A15" s="18" t="s">
        <v>22</v>
      </c>
      <c r="B15" s="1" t="s">
        <v>407</v>
      </c>
      <c r="C15" s="1" t="s">
        <v>203</v>
      </c>
      <c r="D15" s="1" t="s">
        <v>14</v>
      </c>
      <c r="E15" s="1" t="s">
        <v>15</v>
      </c>
      <c r="F15" s="1" t="s">
        <v>16</v>
      </c>
      <c r="G15" s="1" t="s">
        <v>30</v>
      </c>
      <c r="H15" s="1" t="s">
        <v>409</v>
      </c>
      <c r="I15" s="1" t="s">
        <v>140</v>
      </c>
      <c r="J15" s="1" t="s">
        <v>141</v>
      </c>
      <c r="K15" s="1" t="s">
        <v>211</v>
      </c>
      <c r="L15" s="1" t="s">
        <v>212</v>
      </c>
      <c r="M15" s="1" t="s">
        <v>42</v>
      </c>
      <c r="N15" s="1" t="s">
        <v>214</v>
      </c>
      <c r="O15" s="6">
        <v>100</v>
      </c>
      <c r="P15" s="4">
        <v>19</v>
      </c>
      <c r="Q15" s="29">
        <v>19</v>
      </c>
      <c r="R15" t="s">
        <v>702</v>
      </c>
    </row>
    <row r="16" spans="1:18" ht="15.75" thickBot="1" x14ac:dyDescent="0.3">
      <c r="A16" s="18" t="s">
        <v>22</v>
      </c>
      <c r="B16" s="1" t="s">
        <v>407</v>
      </c>
      <c r="C16" s="1" t="s">
        <v>203</v>
      </c>
      <c r="D16" s="1" t="s">
        <v>14</v>
      </c>
      <c r="E16" s="1" t="s">
        <v>15</v>
      </c>
      <c r="F16" s="1" t="s">
        <v>16</v>
      </c>
      <c r="G16" s="1" t="s">
        <v>30</v>
      </c>
      <c r="H16" s="1" t="s">
        <v>409</v>
      </c>
      <c r="I16" s="1" t="s">
        <v>140</v>
      </c>
      <c r="J16" s="1" t="s">
        <v>141</v>
      </c>
      <c r="K16" s="1" t="s">
        <v>215</v>
      </c>
      <c r="L16" s="1" t="s">
        <v>216</v>
      </c>
      <c r="M16" s="1" t="s">
        <v>42</v>
      </c>
      <c r="N16" s="1" t="s">
        <v>214</v>
      </c>
      <c r="O16" s="8">
        <v>100</v>
      </c>
      <c r="P16" s="5">
        <v>1</v>
      </c>
      <c r="Q16" s="30">
        <v>1</v>
      </c>
      <c r="R16" t="s">
        <v>702</v>
      </c>
    </row>
    <row r="17" spans="1:18" ht="15.75" thickBot="1" x14ac:dyDescent="0.3">
      <c r="A17" s="18" t="s">
        <v>22</v>
      </c>
      <c r="B17" s="1" t="s">
        <v>407</v>
      </c>
      <c r="C17" s="1" t="s">
        <v>203</v>
      </c>
      <c r="D17" s="1" t="s">
        <v>14</v>
      </c>
      <c r="E17" s="1" t="s">
        <v>15</v>
      </c>
      <c r="F17" s="1" t="s">
        <v>16</v>
      </c>
      <c r="G17" s="1" t="s">
        <v>30</v>
      </c>
      <c r="H17" s="1" t="s">
        <v>409</v>
      </c>
      <c r="I17" s="1" t="s">
        <v>140</v>
      </c>
      <c r="J17" s="1" t="s">
        <v>141</v>
      </c>
      <c r="K17" s="1" t="s">
        <v>218</v>
      </c>
      <c r="L17" s="1" t="s">
        <v>219</v>
      </c>
      <c r="M17" s="1" t="s">
        <v>42</v>
      </c>
      <c r="N17" s="1" t="s">
        <v>214</v>
      </c>
      <c r="O17" s="6">
        <v>100</v>
      </c>
      <c r="P17" s="4">
        <v>1</v>
      </c>
      <c r="Q17" s="29">
        <v>1</v>
      </c>
      <c r="R17" t="s">
        <v>702</v>
      </c>
    </row>
    <row r="18" spans="1:18" ht="15.75" thickBot="1" x14ac:dyDescent="0.3">
      <c r="A18" s="18" t="s">
        <v>22</v>
      </c>
      <c r="B18" s="1" t="s">
        <v>407</v>
      </c>
      <c r="C18" s="1" t="s">
        <v>203</v>
      </c>
      <c r="D18" s="1" t="s">
        <v>14</v>
      </c>
      <c r="E18" s="1" t="s">
        <v>15</v>
      </c>
      <c r="F18" s="1" t="s">
        <v>16</v>
      </c>
      <c r="G18" s="1" t="s">
        <v>30</v>
      </c>
      <c r="H18" s="1" t="s">
        <v>409</v>
      </c>
      <c r="I18" s="1" t="s">
        <v>140</v>
      </c>
      <c r="J18" s="1" t="s">
        <v>141</v>
      </c>
      <c r="K18" s="1" t="s">
        <v>220</v>
      </c>
      <c r="L18" s="1" t="s">
        <v>221</v>
      </c>
      <c r="M18" s="1" t="s">
        <v>42</v>
      </c>
      <c r="N18" s="1" t="s">
        <v>214</v>
      </c>
      <c r="O18" s="8">
        <v>100</v>
      </c>
      <c r="P18" s="5">
        <v>1</v>
      </c>
      <c r="Q18" s="30">
        <v>1</v>
      </c>
      <c r="R18" t="s">
        <v>702</v>
      </c>
    </row>
    <row r="19" spans="1:18" ht="15.75" thickBot="1" x14ac:dyDescent="0.3">
      <c r="A19" s="18" t="s">
        <v>22</v>
      </c>
      <c r="B19" s="1" t="s">
        <v>407</v>
      </c>
      <c r="C19" s="1" t="s">
        <v>203</v>
      </c>
      <c r="D19" s="1" t="s">
        <v>14</v>
      </c>
      <c r="E19" s="1" t="s">
        <v>135</v>
      </c>
      <c r="F19" s="1" t="s">
        <v>177</v>
      </c>
      <c r="G19" s="1" t="s">
        <v>30</v>
      </c>
      <c r="H19" s="1" t="s">
        <v>409</v>
      </c>
      <c r="I19" s="1" t="s">
        <v>180</v>
      </c>
      <c r="J19" s="1" t="s">
        <v>181</v>
      </c>
      <c r="K19" s="1" t="s">
        <v>349</v>
      </c>
      <c r="L19" s="1" t="s">
        <v>350</v>
      </c>
      <c r="M19" s="1" t="s">
        <v>42</v>
      </c>
      <c r="N19" s="1" t="s">
        <v>214</v>
      </c>
      <c r="O19" s="8">
        <v>100</v>
      </c>
      <c r="P19" s="5">
        <v>1</v>
      </c>
      <c r="Q19" s="30">
        <v>1</v>
      </c>
      <c r="R19" t="s">
        <v>702</v>
      </c>
    </row>
    <row r="20" spans="1:18" ht="15.75" thickBot="1" x14ac:dyDescent="0.3">
      <c r="A20" s="18" t="s">
        <v>22</v>
      </c>
      <c r="B20" s="1" t="s">
        <v>407</v>
      </c>
      <c r="C20" s="1" t="s">
        <v>203</v>
      </c>
      <c r="D20" s="1" t="s">
        <v>14</v>
      </c>
      <c r="E20" s="1" t="s">
        <v>135</v>
      </c>
      <c r="F20" s="1" t="s">
        <v>177</v>
      </c>
      <c r="G20" s="1" t="s">
        <v>30</v>
      </c>
      <c r="H20" s="1" t="s">
        <v>409</v>
      </c>
      <c r="I20" s="1" t="s">
        <v>180</v>
      </c>
      <c r="J20" s="1" t="s">
        <v>181</v>
      </c>
      <c r="K20" s="1" t="s">
        <v>351</v>
      </c>
      <c r="L20" s="1" t="s">
        <v>352</v>
      </c>
      <c r="M20" s="1" t="s">
        <v>42</v>
      </c>
      <c r="N20" s="1" t="s">
        <v>206</v>
      </c>
      <c r="O20" s="6">
        <v>100</v>
      </c>
      <c r="P20" s="4">
        <v>1</v>
      </c>
      <c r="Q20" s="29">
        <v>1</v>
      </c>
      <c r="R20" t="s">
        <v>702</v>
      </c>
    </row>
    <row r="21" spans="1:18" ht="15.75" thickBot="1" x14ac:dyDescent="0.3">
      <c r="A21" s="18" t="s">
        <v>22</v>
      </c>
      <c r="B21" s="1" t="s">
        <v>407</v>
      </c>
      <c r="C21" s="1" t="s">
        <v>203</v>
      </c>
      <c r="D21" s="1" t="s">
        <v>14</v>
      </c>
      <c r="E21" s="1" t="s">
        <v>135</v>
      </c>
      <c r="F21" s="1" t="s">
        <v>177</v>
      </c>
      <c r="G21" s="1" t="s">
        <v>30</v>
      </c>
      <c r="H21" s="1" t="s">
        <v>409</v>
      </c>
      <c r="I21" s="1" t="s">
        <v>140</v>
      </c>
      <c r="J21" s="1" t="s">
        <v>141</v>
      </c>
      <c r="K21" s="1" t="s">
        <v>346</v>
      </c>
      <c r="L21" s="1" t="s">
        <v>347</v>
      </c>
      <c r="M21" s="1" t="s">
        <v>42</v>
      </c>
      <c r="N21" s="1" t="s">
        <v>206</v>
      </c>
      <c r="O21" s="8">
        <v>100</v>
      </c>
      <c r="P21" s="5">
        <v>1</v>
      </c>
      <c r="Q21" s="30">
        <v>1</v>
      </c>
      <c r="R21" t="s">
        <v>702</v>
      </c>
    </row>
    <row r="22" spans="1:18" ht="15.75" thickBot="1" x14ac:dyDescent="0.3">
      <c r="A22" s="18" t="s">
        <v>22</v>
      </c>
      <c r="B22" s="1" t="s">
        <v>407</v>
      </c>
      <c r="C22" s="1" t="s">
        <v>203</v>
      </c>
      <c r="D22" s="1" t="s">
        <v>14</v>
      </c>
      <c r="E22" s="1" t="s">
        <v>135</v>
      </c>
      <c r="F22" s="1" t="s">
        <v>353</v>
      </c>
      <c r="G22" s="1" t="s">
        <v>30</v>
      </c>
      <c r="H22" s="1" t="s">
        <v>409</v>
      </c>
      <c r="I22" s="1" t="s">
        <v>43</v>
      </c>
      <c r="J22" s="1" t="s">
        <v>44</v>
      </c>
      <c r="K22" s="1" t="s">
        <v>354</v>
      </c>
      <c r="L22" s="1" t="s">
        <v>355</v>
      </c>
      <c r="M22" s="1" t="s">
        <v>42</v>
      </c>
      <c r="N22" s="1" t="s">
        <v>206</v>
      </c>
      <c r="O22" s="8">
        <v>100</v>
      </c>
      <c r="P22" s="5">
        <v>1</v>
      </c>
      <c r="Q22" s="30">
        <v>1</v>
      </c>
      <c r="R22" t="s">
        <v>702</v>
      </c>
    </row>
    <row r="23" spans="1:18" ht="15.75" thickBot="1" x14ac:dyDescent="0.3">
      <c r="A23" s="18" t="s">
        <v>22</v>
      </c>
      <c r="B23" s="1" t="s">
        <v>407</v>
      </c>
      <c r="C23" s="1" t="s">
        <v>203</v>
      </c>
      <c r="D23" s="1" t="s">
        <v>14</v>
      </c>
      <c r="E23" s="1" t="s">
        <v>135</v>
      </c>
      <c r="F23" s="1" t="s">
        <v>353</v>
      </c>
      <c r="G23" s="1" t="s">
        <v>30</v>
      </c>
      <c r="H23" s="1" t="s">
        <v>409</v>
      </c>
      <c r="I23" s="1" t="s">
        <v>43</v>
      </c>
      <c r="J23" s="1" t="s">
        <v>44</v>
      </c>
      <c r="K23" s="1" t="s">
        <v>356</v>
      </c>
      <c r="L23" s="1" t="s">
        <v>357</v>
      </c>
      <c r="M23" s="1" t="s">
        <v>42</v>
      </c>
      <c r="N23" s="1" t="s">
        <v>206</v>
      </c>
      <c r="O23" s="6">
        <v>100</v>
      </c>
      <c r="P23" s="4">
        <v>1</v>
      </c>
      <c r="Q23" s="29">
        <v>1</v>
      </c>
      <c r="R23" t="s">
        <v>702</v>
      </c>
    </row>
    <row r="24" spans="1:18" ht="15.75" thickBot="1" x14ac:dyDescent="0.3">
      <c r="A24" s="18" t="s">
        <v>36</v>
      </c>
      <c r="B24" s="1" t="s">
        <v>410</v>
      </c>
      <c r="C24" s="1" t="s">
        <v>203</v>
      </c>
      <c r="D24" s="1" t="s">
        <v>14</v>
      </c>
      <c r="E24" s="1" t="s">
        <v>37</v>
      </c>
      <c r="F24" s="1" t="s">
        <v>38</v>
      </c>
      <c r="G24" s="1" t="s">
        <v>46</v>
      </c>
      <c r="H24" s="1" t="s">
        <v>414</v>
      </c>
      <c r="I24" s="1" t="s">
        <v>147</v>
      </c>
      <c r="J24" s="1" t="s">
        <v>148</v>
      </c>
      <c r="K24" s="1" t="s">
        <v>371</v>
      </c>
      <c r="L24" s="1" t="s">
        <v>372</v>
      </c>
      <c r="M24" s="1" t="s">
        <v>146</v>
      </c>
      <c r="N24" s="1" t="s">
        <v>206</v>
      </c>
      <c r="O24" s="8">
        <v>0</v>
      </c>
      <c r="P24" s="5">
        <v>0</v>
      </c>
      <c r="Q24" s="30">
        <v>1</v>
      </c>
      <c r="R24" t="s">
        <v>703</v>
      </c>
    </row>
    <row r="25" spans="1:18" ht="15.75" thickBot="1" x14ac:dyDescent="0.3">
      <c r="A25" s="18" t="s">
        <v>36</v>
      </c>
      <c r="B25" s="1" t="s">
        <v>410</v>
      </c>
      <c r="C25" s="1" t="s">
        <v>203</v>
      </c>
      <c r="D25" s="1" t="s">
        <v>14</v>
      </c>
      <c r="E25" s="1" t="s">
        <v>37</v>
      </c>
      <c r="F25" s="1" t="s">
        <v>38</v>
      </c>
      <c r="G25" s="1" t="s">
        <v>46</v>
      </c>
      <c r="H25" s="1" t="s">
        <v>414</v>
      </c>
      <c r="I25" s="1" t="s">
        <v>43</v>
      </c>
      <c r="J25" s="1" t="s">
        <v>44</v>
      </c>
      <c r="K25" s="1" t="s">
        <v>282</v>
      </c>
      <c r="L25" s="1" t="s">
        <v>283</v>
      </c>
      <c r="M25" s="1" t="s">
        <v>42</v>
      </c>
      <c r="N25" s="1" t="s">
        <v>206</v>
      </c>
      <c r="O25" s="6">
        <v>100</v>
      </c>
      <c r="P25" s="4">
        <v>1</v>
      </c>
      <c r="Q25" s="29">
        <v>1</v>
      </c>
      <c r="R25" t="s">
        <v>702</v>
      </c>
    </row>
    <row r="26" spans="1:18" ht="15.75" thickBot="1" x14ac:dyDescent="0.3">
      <c r="A26" s="18" t="s">
        <v>36</v>
      </c>
      <c r="B26" s="1" t="s">
        <v>410</v>
      </c>
      <c r="C26" s="1" t="s">
        <v>203</v>
      </c>
      <c r="D26" s="1" t="s">
        <v>14</v>
      </c>
      <c r="E26" s="1" t="s">
        <v>37</v>
      </c>
      <c r="F26" s="1" t="s">
        <v>38</v>
      </c>
      <c r="G26" s="1" t="s">
        <v>46</v>
      </c>
      <c r="H26" s="1" t="s">
        <v>414</v>
      </c>
      <c r="I26" s="1" t="s">
        <v>43</v>
      </c>
      <c r="J26" s="1" t="s">
        <v>44</v>
      </c>
      <c r="K26" s="1" t="s">
        <v>282</v>
      </c>
      <c r="L26" s="1" t="s">
        <v>283</v>
      </c>
      <c r="M26" s="1" t="s">
        <v>42</v>
      </c>
      <c r="N26" s="1" t="s">
        <v>214</v>
      </c>
      <c r="O26" s="8">
        <v>100</v>
      </c>
      <c r="P26" s="5">
        <v>2</v>
      </c>
      <c r="Q26" s="30">
        <v>2</v>
      </c>
      <c r="R26" t="s">
        <v>702</v>
      </c>
    </row>
    <row r="27" spans="1:18" ht="15.75" thickBot="1" x14ac:dyDescent="0.3">
      <c r="A27" s="18" t="s">
        <v>36</v>
      </c>
      <c r="B27" s="1" t="s">
        <v>410</v>
      </c>
      <c r="C27" s="1" t="s">
        <v>203</v>
      </c>
      <c r="D27" s="1" t="s">
        <v>14</v>
      </c>
      <c r="E27" s="1" t="s">
        <v>37</v>
      </c>
      <c r="F27" s="1" t="s">
        <v>38</v>
      </c>
      <c r="G27" s="1" t="s">
        <v>46</v>
      </c>
      <c r="H27" s="1" t="s">
        <v>414</v>
      </c>
      <c r="I27" s="1" t="s">
        <v>43</v>
      </c>
      <c r="J27" s="1" t="s">
        <v>44</v>
      </c>
      <c r="K27" s="1" t="s">
        <v>285</v>
      </c>
      <c r="L27" s="1" t="s">
        <v>286</v>
      </c>
      <c r="M27" s="1" t="s">
        <v>42</v>
      </c>
      <c r="N27" s="1" t="s">
        <v>206</v>
      </c>
      <c r="O27" s="6">
        <v>100</v>
      </c>
      <c r="P27" s="4">
        <v>1</v>
      </c>
      <c r="Q27" s="29">
        <v>1</v>
      </c>
      <c r="R27" t="s">
        <v>702</v>
      </c>
    </row>
    <row r="28" spans="1:18" ht="15.75" thickBot="1" x14ac:dyDescent="0.3">
      <c r="A28" s="18" t="s">
        <v>36</v>
      </c>
      <c r="B28" s="1" t="s">
        <v>410</v>
      </c>
      <c r="C28" s="1" t="s">
        <v>203</v>
      </c>
      <c r="D28" s="1" t="s">
        <v>14</v>
      </c>
      <c r="E28" s="1" t="s">
        <v>37</v>
      </c>
      <c r="F28" s="1" t="s">
        <v>38</v>
      </c>
      <c r="G28" s="1" t="s">
        <v>46</v>
      </c>
      <c r="H28" s="1" t="s">
        <v>414</v>
      </c>
      <c r="I28" s="1" t="s">
        <v>43</v>
      </c>
      <c r="J28" s="1" t="s">
        <v>44</v>
      </c>
      <c r="K28" s="1" t="s">
        <v>285</v>
      </c>
      <c r="L28" s="1" t="s">
        <v>286</v>
      </c>
      <c r="M28" s="1" t="s">
        <v>42</v>
      </c>
      <c r="N28" s="1" t="s">
        <v>214</v>
      </c>
      <c r="O28" s="8">
        <v>100</v>
      </c>
      <c r="P28" s="5">
        <v>2</v>
      </c>
      <c r="Q28" s="30">
        <v>2</v>
      </c>
      <c r="R28" t="s">
        <v>702</v>
      </c>
    </row>
    <row r="29" spans="1:18" ht="15.75" thickBot="1" x14ac:dyDescent="0.3">
      <c r="A29" s="18" t="s">
        <v>36</v>
      </c>
      <c r="B29" s="1" t="s">
        <v>410</v>
      </c>
      <c r="C29" s="1" t="s">
        <v>203</v>
      </c>
      <c r="D29" s="1" t="s">
        <v>14</v>
      </c>
      <c r="E29" s="1" t="s">
        <v>37</v>
      </c>
      <c r="F29" s="1" t="s">
        <v>38</v>
      </c>
      <c r="G29" s="1" t="s">
        <v>46</v>
      </c>
      <c r="H29" s="1" t="s">
        <v>414</v>
      </c>
      <c r="I29" s="1" t="s">
        <v>43</v>
      </c>
      <c r="J29" s="1" t="s">
        <v>44</v>
      </c>
      <c r="K29" s="1" t="s">
        <v>287</v>
      </c>
      <c r="L29" s="1" t="s">
        <v>288</v>
      </c>
      <c r="M29" s="1" t="s">
        <v>42</v>
      </c>
      <c r="N29" s="1" t="s">
        <v>206</v>
      </c>
      <c r="O29" s="6">
        <v>100</v>
      </c>
      <c r="P29" s="4">
        <v>2</v>
      </c>
      <c r="Q29" s="29">
        <v>2</v>
      </c>
      <c r="R29" t="s">
        <v>702</v>
      </c>
    </row>
    <row r="30" spans="1:18" ht="15.75" thickBot="1" x14ac:dyDescent="0.3">
      <c r="A30" s="18" t="s">
        <v>36</v>
      </c>
      <c r="B30" s="1" t="s">
        <v>410</v>
      </c>
      <c r="C30" s="1" t="s">
        <v>203</v>
      </c>
      <c r="D30" s="1" t="s">
        <v>14</v>
      </c>
      <c r="E30" s="1" t="s">
        <v>37</v>
      </c>
      <c r="F30" s="1" t="s">
        <v>38</v>
      </c>
      <c r="G30" s="1" t="s">
        <v>46</v>
      </c>
      <c r="H30" s="1" t="s">
        <v>414</v>
      </c>
      <c r="I30" s="1" t="s">
        <v>43</v>
      </c>
      <c r="J30" s="1" t="s">
        <v>44</v>
      </c>
      <c r="K30" s="1" t="s">
        <v>287</v>
      </c>
      <c r="L30" s="1" t="s">
        <v>288</v>
      </c>
      <c r="M30" s="1" t="s">
        <v>42</v>
      </c>
      <c r="N30" s="1" t="s">
        <v>214</v>
      </c>
      <c r="O30" s="8">
        <v>100</v>
      </c>
      <c r="P30" s="5">
        <v>2</v>
      </c>
      <c r="Q30" s="30">
        <v>2</v>
      </c>
      <c r="R30" t="s">
        <v>702</v>
      </c>
    </row>
    <row r="31" spans="1:18" ht="15.75" thickBot="1" x14ac:dyDescent="0.3">
      <c r="A31" s="18" t="s">
        <v>36</v>
      </c>
      <c r="B31" s="1" t="s">
        <v>410</v>
      </c>
      <c r="C31" s="1" t="s">
        <v>203</v>
      </c>
      <c r="D31" s="1" t="s">
        <v>14</v>
      </c>
      <c r="E31" s="1" t="s">
        <v>37</v>
      </c>
      <c r="F31" s="1" t="s">
        <v>38</v>
      </c>
      <c r="G31" s="1" t="s">
        <v>46</v>
      </c>
      <c r="H31" s="1" t="s">
        <v>414</v>
      </c>
      <c r="I31" s="1" t="s">
        <v>43</v>
      </c>
      <c r="J31" s="1" t="s">
        <v>44</v>
      </c>
      <c r="K31" s="1" t="s">
        <v>289</v>
      </c>
      <c r="L31" s="1" t="s">
        <v>290</v>
      </c>
      <c r="M31" s="1" t="s">
        <v>42</v>
      </c>
      <c r="N31" s="1" t="s">
        <v>206</v>
      </c>
      <c r="O31" s="6">
        <v>100</v>
      </c>
      <c r="P31" s="4">
        <v>1</v>
      </c>
      <c r="Q31" s="29">
        <v>1</v>
      </c>
      <c r="R31" t="s">
        <v>702</v>
      </c>
    </row>
    <row r="32" spans="1:18" ht="15.75" thickBot="1" x14ac:dyDescent="0.3">
      <c r="A32" s="18" t="s">
        <v>36</v>
      </c>
      <c r="B32" s="1" t="s">
        <v>410</v>
      </c>
      <c r="C32" s="1" t="s">
        <v>203</v>
      </c>
      <c r="D32" s="1" t="s">
        <v>14</v>
      </c>
      <c r="E32" s="1" t="s">
        <v>37</v>
      </c>
      <c r="F32" s="1" t="s">
        <v>38</v>
      </c>
      <c r="G32" s="1" t="s">
        <v>46</v>
      </c>
      <c r="H32" s="1" t="s">
        <v>414</v>
      </c>
      <c r="I32" s="1" t="s">
        <v>43</v>
      </c>
      <c r="J32" s="1" t="s">
        <v>44</v>
      </c>
      <c r="K32" s="1" t="s">
        <v>289</v>
      </c>
      <c r="L32" s="1" t="s">
        <v>290</v>
      </c>
      <c r="M32" s="1" t="s">
        <v>42</v>
      </c>
      <c r="N32" s="1" t="s">
        <v>214</v>
      </c>
      <c r="O32" s="8">
        <v>100</v>
      </c>
      <c r="P32" s="5">
        <v>3</v>
      </c>
      <c r="Q32" s="30">
        <v>3</v>
      </c>
      <c r="R32" t="s">
        <v>702</v>
      </c>
    </row>
    <row r="33" spans="1:18" ht="15.75" thickBot="1" x14ac:dyDescent="0.3">
      <c r="A33" s="18" t="s">
        <v>36</v>
      </c>
      <c r="B33" s="1" t="s">
        <v>410</v>
      </c>
      <c r="C33" s="1" t="s">
        <v>203</v>
      </c>
      <c r="D33" s="1" t="s">
        <v>14</v>
      </c>
      <c r="E33" s="1" t="s">
        <v>37</v>
      </c>
      <c r="F33" s="1" t="s">
        <v>38</v>
      </c>
      <c r="G33" s="1" t="s">
        <v>46</v>
      </c>
      <c r="H33" s="1" t="s">
        <v>414</v>
      </c>
      <c r="I33" s="1" t="s">
        <v>43</v>
      </c>
      <c r="J33" s="1" t="s">
        <v>44</v>
      </c>
      <c r="K33" s="1" t="s">
        <v>291</v>
      </c>
      <c r="L33" s="1" t="s">
        <v>292</v>
      </c>
      <c r="M33" s="1" t="s">
        <v>42</v>
      </c>
      <c r="N33" s="1" t="s">
        <v>206</v>
      </c>
      <c r="O33" s="6">
        <v>100</v>
      </c>
      <c r="P33" s="4">
        <v>1</v>
      </c>
      <c r="Q33" s="29">
        <v>1</v>
      </c>
      <c r="R33" t="s">
        <v>702</v>
      </c>
    </row>
    <row r="34" spans="1:18" ht="15.75" thickBot="1" x14ac:dyDescent="0.3">
      <c r="A34" s="18" t="s">
        <v>36</v>
      </c>
      <c r="B34" s="1" t="s">
        <v>410</v>
      </c>
      <c r="C34" s="1" t="s">
        <v>203</v>
      </c>
      <c r="D34" s="1" t="s">
        <v>14</v>
      </c>
      <c r="E34" s="1" t="s">
        <v>37</v>
      </c>
      <c r="F34" s="1" t="s">
        <v>38</v>
      </c>
      <c r="G34" s="1" t="s">
        <v>46</v>
      </c>
      <c r="H34" s="1" t="s">
        <v>414</v>
      </c>
      <c r="I34" s="1" t="s">
        <v>43</v>
      </c>
      <c r="J34" s="1" t="s">
        <v>44</v>
      </c>
      <c r="K34" s="1" t="s">
        <v>291</v>
      </c>
      <c r="L34" s="1" t="s">
        <v>292</v>
      </c>
      <c r="M34" s="1" t="s">
        <v>42</v>
      </c>
      <c r="N34" s="1" t="s">
        <v>214</v>
      </c>
      <c r="O34" s="8">
        <v>100</v>
      </c>
      <c r="P34" s="5">
        <v>2</v>
      </c>
      <c r="Q34" s="30">
        <v>2</v>
      </c>
      <c r="R34" t="s">
        <v>702</v>
      </c>
    </row>
    <row r="35" spans="1:18" ht="15.75" thickBot="1" x14ac:dyDescent="0.3">
      <c r="A35" s="18" t="s">
        <v>36</v>
      </c>
      <c r="B35" s="1" t="s">
        <v>410</v>
      </c>
      <c r="C35" s="1" t="s">
        <v>203</v>
      </c>
      <c r="D35" s="1" t="s">
        <v>14</v>
      </c>
      <c r="E35" s="1" t="s">
        <v>37</v>
      </c>
      <c r="F35" s="1" t="s">
        <v>38</v>
      </c>
      <c r="G35" s="1" t="s">
        <v>46</v>
      </c>
      <c r="H35" s="1" t="s">
        <v>414</v>
      </c>
      <c r="I35" s="1" t="s">
        <v>43</v>
      </c>
      <c r="J35" s="1" t="s">
        <v>44</v>
      </c>
      <c r="K35" s="1" t="s">
        <v>293</v>
      </c>
      <c r="L35" s="1" t="s">
        <v>294</v>
      </c>
      <c r="M35" s="1" t="s">
        <v>42</v>
      </c>
      <c r="N35" s="1" t="s">
        <v>206</v>
      </c>
      <c r="O35" s="6">
        <v>100</v>
      </c>
      <c r="P35" s="4">
        <v>1</v>
      </c>
      <c r="Q35" s="29">
        <v>1</v>
      </c>
      <c r="R35" t="s">
        <v>702</v>
      </c>
    </row>
    <row r="36" spans="1:18" ht="15.75" thickBot="1" x14ac:dyDescent="0.3">
      <c r="A36" s="18" t="s">
        <v>36</v>
      </c>
      <c r="B36" s="1" t="s">
        <v>410</v>
      </c>
      <c r="C36" s="1" t="s">
        <v>203</v>
      </c>
      <c r="D36" s="1" t="s">
        <v>14</v>
      </c>
      <c r="E36" s="1" t="s">
        <v>37</v>
      </c>
      <c r="F36" s="1" t="s">
        <v>38</v>
      </c>
      <c r="G36" s="1" t="s">
        <v>46</v>
      </c>
      <c r="H36" s="1" t="s">
        <v>414</v>
      </c>
      <c r="I36" s="1" t="s">
        <v>43</v>
      </c>
      <c r="J36" s="1" t="s">
        <v>44</v>
      </c>
      <c r="K36" s="1" t="s">
        <v>293</v>
      </c>
      <c r="L36" s="1" t="s">
        <v>294</v>
      </c>
      <c r="M36" s="1" t="s">
        <v>42</v>
      </c>
      <c r="N36" s="1" t="s">
        <v>214</v>
      </c>
      <c r="O36" s="8">
        <v>100</v>
      </c>
      <c r="P36" s="5">
        <v>2</v>
      </c>
      <c r="Q36" s="30">
        <v>2</v>
      </c>
      <c r="R36" t="s">
        <v>702</v>
      </c>
    </row>
    <row r="37" spans="1:18" ht="15.75" thickBot="1" x14ac:dyDescent="0.3">
      <c r="A37" s="18" t="s">
        <v>36</v>
      </c>
      <c r="B37" s="1" t="s">
        <v>410</v>
      </c>
      <c r="C37" s="1" t="s">
        <v>203</v>
      </c>
      <c r="D37" s="1" t="s">
        <v>14</v>
      </c>
      <c r="E37" s="1" t="s">
        <v>37</v>
      </c>
      <c r="F37" s="1" t="s">
        <v>38</v>
      </c>
      <c r="G37" s="1" t="s">
        <v>46</v>
      </c>
      <c r="H37" s="1" t="s">
        <v>414</v>
      </c>
      <c r="I37" s="1" t="s">
        <v>43</v>
      </c>
      <c r="J37" s="1" t="s">
        <v>44</v>
      </c>
      <c r="K37" s="1" t="s">
        <v>373</v>
      </c>
      <c r="L37" s="1" t="s">
        <v>374</v>
      </c>
      <c r="M37" s="1" t="s">
        <v>42</v>
      </c>
      <c r="N37" s="1" t="s">
        <v>370</v>
      </c>
      <c r="O37" s="6">
        <v>0</v>
      </c>
      <c r="P37" s="4">
        <v>0</v>
      </c>
      <c r="Q37" s="29">
        <v>2</v>
      </c>
      <c r="R37" t="s">
        <v>703</v>
      </c>
    </row>
    <row r="38" spans="1:18" ht="15.75" thickBot="1" x14ac:dyDescent="0.3">
      <c r="A38" s="18" t="s">
        <v>36</v>
      </c>
      <c r="B38" s="1" t="s">
        <v>410</v>
      </c>
      <c r="C38" s="1" t="s">
        <v>203</v>
      </c>
      <c r="D38" s="1" t="s">
        <v>14</v>
      </c>
      <c r="E38" s="1" t="s">
        <v>37</v>
      </c>
      <c r="F38" s="1" t="s">
        <v>38</v>
      </c>
      <c r="G38" s="1" t="s">
        <v>46</v>
      </c>
      <c r="H38" s="1" t="s">
        <v>414</v>
      </c>
      <c r="I38" s="1" t="s">
        <v>43</v>
      </c>
      <c r="J38" s="1" t="s">
        <v>44</v>
      </c>
      <c r="K38" s="1" t="s">
        <v>375</v>
      </c>
      <c r="L38" s="1" t="s">
        <v>376</v>
      </c>
      <c r="M38" s="1" t="s">
        <v>42</v>
      </c>
      <c r="N38" s="1" t="s">
        <v>370</v>
      </c>
      <c r="O38" s="8">
        <v>0</v>
      </c>
      <c r="P38" s="5">
        <v>0</v>
      </c>
      <c r="Q38" s="30">
        <v>2</v>
      </c>
      <c r="R38" t="s">
        <v>703</v>
      </c>
    </row>
    <row r="39" spans="1:18" ht="15.75" thickBot="1" x14ac:dyDescent="0.3">
      <c r="A39" s="18" t="s">
        <v>36</v>
      </c>
      <c r="B39" s="1" t="s">
        <v>410</v>
      </c>
      <c r="C39" s="1" t="s">
        <v>203</v>
      </c>
      <c r="D39" s="1" t="s">
        <v>14</v>
      </c>
      <c r="E39" s="1" t="s">
        <v>37</v>
      </c>
      <c r="F39" s="1" t="s">
        <v>38</v>
      </c>
      <c r="G39" s="1" t="s">
        <v>46</v>
      </c>
      <c r="H39" s="1" t="s">
        <v>414</v>
      </c>
      <c r="I39" s="1" t="s">
        <v>43</v>
      </c>
      <c r="J39" s="1" t="s">
        <v>44</v>
      </c>
      <c r="K39" s="1" t="s">
        <v>47</v>
      </c>
      <c r="L39" s="1" t="s">
        <v>48</v>
      </c>
      <c r="M39" s="1" t="s">
        <v>42</v>
      </c>
      <c r="N39" s="1" t="s">
        <v>370</v>
      </c>
      <c r="O39" s="6">
        <v>0</v>
      </c>
      <c r="P39" s="4">
        <v>0</v>
      </c>
      <c r="Q39" s="29">
        <v>2</v>
      </c>
      <c r="R39" t="s">
        <v>703</v>
      </c>
    </row>
    <row r="40" spans="1:18" ht="15.75" thickBot="1" x14ac:dyDescent="0.3">
      <c r="A40" s="18" t="s">
        <v>36</v>
      </c>
      <c r="B40" s="1" t="s">
        <v>410</v>
      </c>
      <c r="C40" s="1" t="s">
        <v>203</v>
      </c>
      <c r="D40" s="1" t="s">
        <v>14</v>
      </c>
      <c r="E40" s="1" t="s">
        <v>37</v>
      </c>
      <c r="F40" s="1" t="s">
        <v>38</v>
      </c>
      <c r="G40" s="1" t="s">
        <v>46</v>
      </c>
      <c r="H40" s="1" t="s">
        <v>414</v>
      </c>
      <c r="I40" s="1" t="s">
        <v>43</v>
      </c>
      <c r="J40" s="1" t="s">
        <v>44</v>
      </c>
      <c r="K40" s="1" t="s">
        <v>295</v>
      </c>
      <c r="L40" s="1" t="s">
        <v>296</v>
      </c>
      <c r="M40" s="1" t="s">
        <v>42</v>
      </c>
      <c r="N40" s="1" t="s">
        <v>206</v>
      </c>
      <c r="O40" s="8">
        <v>100</v>
      </c>
      <c r="P40" s="5">
        <v>3</v>
      </c>
      <c r="Q40" s="30">
        <v>3</v>
      </c>
      <c r="R40" t="s">
        <v>702</v>
      </c>
    </row>
    <row r="41" spans="1:18" ht="15.75" thickBot="1" x14ac:dyDescent="0.3">
      <c r="A41" s="18" t="s">
        <v>36</v>
      </c>
      <c r="B41" s="1" t="s">
        <v>410</v>
      </c>
      <c r="C41" s="1" t="s">
        <v>203</v>
      </c>
      <c r="D41" s="1" t="s">
        <v>14</v>
      </c>
      <c r="E41" s="1" t="s">
        <v>37</v>
      </c>
      <c r="F41" s="1" t="s">
        <v>38</v>
      </c>
      <c r="G41" s="1" t="s">
        <v>46</v>
      </c>
      <c r="H41" s="1" t="s">
        <v>414</v>
      </c>
      <c r="I41" s="1" t="s">
        <v>43</v>
      </c>
      <c r="J41" s="1" t="s">
        <v>44</v>
      </c>
      <c r="K41" s="1" t="s">
        <v>66</v>
      </c>
      <c r="L41" s="1" t="s">
        <v>67</v>
      </c>
      <c r="M41" s="1" t="s">
        <v>42</v>
      </c>
      <c r="N41" s="1" t="s">
        <v>370</v>
      </c>
      <c r="O41" s="6">
        <v>0</v>
      </c>
      <c r="P41" s="4">
        <v>0</v>
      </c>
      <c r="Q41" s="29">
        <v>2</v>
      </c>
      <c r="R41" t="s">
        <v>703</v>
      </c>
    </row>
    <row r="42" spans="1:18" ht="15.75" thickBot="1" x14ac:dyDescent="0.3">
      <c r="A42" s="18" t="s">
        <v>36</v>
      </c>
      <c r="B42" s="1" t="s">
        <v>410</v>
      </c>
      <c r="C42" s="1" t="s">
        <v>203</v>
      </c>
      <c r="D42" s="1" t="s">
        <v>14</v>
      </c>
      <c r="E42" s="1" t="s">
        <v>37</v>
      </c>
      <c r="F42" s="1" t="s">
        <v>38</v>
      </c>
      <c r="G42" s="1" t="s">
        <v>46</v>
      </c>
      <c r="H42" s="1" t="s">
        <v>414</v>
      </c>
      <c r="I42" s="1" t="s">
        <v>43</v>
      </c>
      <c r="J42" s="1" t="s">
        <v>44</v>
      </c>
      <c r="K42" s="1" t="s">
        <v>297</v>
      </c>
      <c r="L42" s="1" t="s">
        <v>298</v>
      </c>
      <c r="M42" s="1" t="s">
        <v>42</v>
      </c>
      <c r="N42" s="1" t="s">
        <v>206</v>
      </c>
      <c r="O42" s="8">
        <v>100</v>
      </c>
      <c r="P42" s="5">
        <v>1</v>
      </c>
      <c r="Q42" s="30">
        <v>1</v>
      </c>
      <c r="R42" t="s">
        <v>702</v>
      </c>
    </row>
    <row r="43" spans="1:18" ht="15.75" thickBot="1" x14ac:dyDescent="0.3">
      <c r="A43" s="18" t="s">
        <v>36</v>
      </c>
      <c r="B43" s="1" t="s">
        <v>410</v>
      </c>
      <c r="C43" s="1" t="s">
        <v>203</v>
      </c>
      <c r="D43" s="1" t="s">
        <v>14</v>
      </c>
      <c r="E43" s="1" t="s">
        <v>37</v>
      </c>
      <c r="F43" s="1" t="s">
        <v>38</v>
      </c>
      <c r="G43" s="1" t="s">
        <v>46</v>
      </c>
      <c r="H43" s="1" t="s">
        <v>414</v>
      </c>
      <c r="I43" s="1" t="s">
        <v>43</v>
      </c>
      <c r="J43" s="1" t="s">
        <v>44</v>
      </c>
      <c r="K43" s="1" t="s">
        <v>297</v>
      </c>
      <c r="L43" s="1" t="s">
        <v>298</v>
      </c>
      <c r="M43" s="1" t="s">
        <v>42</v>
      </c>
      <c r="N43" s="1" t="s">
        <v>214</v>
      </c>
      <c r="O43" s="6">
        <v>100</v>
      </c>
      <c r="P43" s="4">
        <v>2</v>
      </c>
      <c r="Q43" s="29">
        <v>2</v>
      </c>
      <c r="R43" t="s">
        <v>702</v>
      </c>
    </row>
    <row r="44" spans="1:18" ht="15.75" thickBot="1" x14ac:dyDescent="0.3">
      <c r="A44" s="18" t="s">
        <v>36</v>
      </c>
      <c r="B44" s="1" t="s">
        <v>410</v>
      </c>
      <c r="C44" s="1" t="s">
        <v>203</v>
      </c>
      <c r="D44" s="1" t="s">
        <v>14</v>
      </c>
      <c r="E44" s="1" t="s">
        <v>37</v>
      </c>
      <c r="F44" s="1" t="s">
        <v>38</v>
      </c>
      <c r="G44" s="1" t="s">
        <v>46</v>
      </c>
      <c r="H44" s="1" t="s">
        <v>414</v>
      </c>
      <c r="I44" s="1" t="s">
        <v>43</v>
      </c>
      <c r="J44" s="1" t="s">
        <v>44</v>
      </c>
      <c r="K44" s="1" t="s">
        <v>299</v>
      </c>
      <c r="L44" s="1" t="s">
        <v>300</v>
      </c>
      <c r="M44" s="1" t="s">
        <v>42</v>
      </c>
      <c r="N44" s="1" t="s">
        <v>206</v>
      </c>
      <c r="O44" s="8">
        <v>100</v>
      </c>
      <c r="P44" s="5">
        <v>1</v>
      </c>
      <c r="Q44" s="30">
        <v>1</v>
      </c>
      <c r="R44" t="s">
        <v>702</v>
      </c>
    </row>
    <row r="45" spans="1:18" ht="15.75" thickBot="1" x14ac:dyDescent="0.3">
      <c r="A45" s="18" t="s">
        <v>36</v>
      </c>
      <c r="B45" s="1" t="s">
        <v>410</v>
      </c>
      <c r="C45" s="1" t="s">
        <v>203</v>
      </c>
      <c r="D45" s="1" t="s">
        <v>14</v>
      </c>
      <c r="E45" s="1" t="s">
        <v>37</v>
      </c>
      <c r="F45" s="1" t="s">
        <v>38</v>
      </c>
      <c r="G45" s="1" t="s">
        <v>46</v>
      </c>
      <c r="H45" s="1" t="s">
        <v>414</v>
      </c>
      <c r="I45" s="1" t="s">
        <v>43</v>
      </c>
      <c r="J45" s="1" t="s">
        <v>44</v>
      </c>
      <c r="K45" s="1" t="s">
        <v>299</v>
      </c>
      <c r="L45" s="1" t="s">
        <v>300</v>
      </c>
      <c r="M45" s="1" t="s">
        <v>42</v>
      </c>
      <c r="N45" s="1" t="s">
        <v>214</v>
      </c>
      <c r="O45" s="6">
        <v>100</v>
      </c>
      <c r="P45" s="4">
        <v>2</v>
      </c>
      <c r="Q45" s="29">
        <v>2</v>
      </c>
      <c r="R45" t="s">
        <v>702</v>
      </c>
    </row>
    <row r="46" spans="1:18" ht="15.75" thickBot="1" x14ac:dyDescent="0.3">
      <c r="A46" s="18" t="s">
        <v>36</v>
      </c>
      <c r="B46" s="1" t="s">
        <v>410</v>
      </c>
      <c r="C46" s="1" t="s">
        <v>203</v>
      </c>
      <c r="D46" s="1" t="s">
        <v>14</v>
      </c>
      <c r="E46" s="1" t="s">
        <v>37</v>
      </c>
      <c r="F46" s="1" t="s">
        <v>38</v>
      </c>
      <c r="G46" s="1" t="s">
        <v>46</v>
      </c>
      <c r="H46" s="1" t="s">
        <v>414</v>
      </c>
      <c r="I46" s="1" t="s">
        <v>43</v>
      </c>
      <c r="J46" s="1" t="s">
        <v>44</v>
      </c>
      <c r="K46" s="1" t="s">
        <v>303</v>
      </c>
      <c r="L46" s="1" t="s">
        <v>304</v>
      </c>
      <c r="M46" s="1" t="s">
        <v>42</v>
      </c>
      <c r="N46" s="1" t="s">
        <v>305</v>
      </c>
      <c r="O46" s="8">
        <v>100</v>
      </c>
      <c r="P46" s="5">
        <v>7</v>
      </c>
      <c r="Q46" s="30">
        <v>7</v>
      </c>
      <c r="R46" t="s">
        <v>702</v>
      </c>
    </row>
    <row r="47" spans="1:18" ht="15.75" thickBot="1" x14ac:dyDescent="0.3">
      <c r="A47" s="18" t="s">
        <v>36</v>
      </c>
      <c r="B47" s="1" t="s">
        <v>410</v>
      </c>
      <c r="C47" s="1" t="s">
        <v>203</v>
      </c>
      <c r="D47" s="1" t="s">
        <v>14</v>
      </c>
      <c r="E47" s="1" t="s">
        <v>37</v>
      </c>
      <c r="F47" s="1" t="s">
        <v>38</v>
      </c>
      <c r="G47" s="1" t="s">
        <v>46</v>
      </c>
      <c r="H47" s="1" t="s">
        <v>414</v>
      </c>
      <c r="I47" s="1" t="s">
        <v>43</v>
      </c>
      <c r="J47" s="1" t="s">
        <v>44</v>
      </c>
      <c r="K47" s="1" t="s">
        <v>303</v>
      </c>
      <c r="L47" s="1" t="s">
        <v>304</v>
      </c>
      <c r="M47" s="1" t="s">
        <v>42</v>
      </c>
      <c r="N47" s="1" t="s">
        <v>377</v>
      </c>
      <c r="O47" s="6">
        <v>100</v>
      </c>
      <c r="P47" s="4">
        <v>2</v>
      </c>
      <c r="Q47" s="29">
        <v>2</v>
      </c>
      <c r="R47" t="s">
        <v>702</v>
      </c>
    </row>
    <row r="48" spans="1:18" ht="15.75" thickBot="1" x14ac:dyDescent="0.3">
      <c r="A48" s="18" t="s">
        <v>36</v>
      </c>
      <c r="B48" s="1" t="s">
        <v>410</v>
      </c>
      <c r="C48" s="1" t="s">
        <v>203</v>
      </c>
      <c r="D48" s="1" t="s">
        <v>14</v>
      </c>
      <c r="E48" s="1" t="s">
        <v>37</v>
      </c>
      <c r="F48" s="1" t="s">
        <v>38</v>
      </c>
      <c r="G48" s="1" t="s">
        <v>46</v>
      </c>
      <c r="H48" s="1" t="s">
        <v>414</v>
      </c>
      <c r="I48" s="1" t="s">
        <v>43</v>
      </c>
      <c r="J48" s="1" t="s">
        <v>44</v>
      </c>
      <c r="K48" s="1" t="s">
        <v>306</v>
      </c>
      <c r="L48" s="1" t="s">
        <v>307</v>
      </c>
      <c r="M48" s="1" t="s">
        <v>42</v>
      </c>
      <c r="N48" s="1" t="s">
        <v>206</v>
      </c>
      <c r="O48" s="8">
        <v>100</v>
      </c>
      <c r="P48" s="5">
        <v>11</v>
      </c>
      <c r="Q48" s="30">
        <v>11</v>
      </c>
      <c r="R48" t="s">
        <v>702</v>
      </c>
    </row>
    <row r="49" spans="1:18" ht="15.75" thickBot="1" x14ac:dyDescent="0.3">
      <c r="A49" s="18" t="s">
        <v>36</v>
      </c>
      <c r="B49" s="1" t="s">
        <v>410</v>
      </c>
      <c r="C49" s="1" t="s">
        <v>203</v>
      </c>
      <c r="D49" s="1" t="s">
        <v>14</v>
      </c>
      <c r="E49" s="1" t="s">
        <v>37</v>
      </c>
      <c r="F49" s="1" t="s">
        <v>38</v>
      </c>
      <c r="G49" s="1" t="s">
        <v>46</v>
      </c>
      <c r="H49" s="1" t="s">
        <v>414</v>
      </c>
      <c r="I49" s="1" t="s">
        <v>43</v>
      </c>
      <c r="J49" s="1" t="s">
        <v>44</v>
      </c>
      <c r="K49" s="1" t="s">
        <v>308</v>
      </c>
      <c r="L49" s="1" t="s">
        <v>309</v>
      </c>
      <c r="M49" s="1" t="s">
        <v>42</v>
      </c>
      <c r="N49" s="1" t="s">
        <v>206</v>
      </c>
      <c r="O49" s="6">
        <v>100</v>
      </c>
      <c r="P49" s="4">
        <v>4</v>
      </c>
      <c r="Q49" s="29">
        <v>4</v>
      </c>
      <c r="R49" t="s">
        <v>702</v>
      </c>
    </row>
    <row r="50" spans="1:18" ht="15.75" thickBot="1" x14ac:dyDescent="0.3">
      <c r="A50" s="18" t="s">
        <v>36</v>
      </c>
      <c r="B50" s="1" t="s">
        <v>410</v>
      </c>
      <c r="C50" s="1" t="s">
        <v>203</v>
      </c>
      <c r="D50" s="1" t="s">
        <v>14</v>
      </c>
      <c r="E50" s="1" t="s">
        <v>37</v>
      </c>
      <c r="F50" s="1" t="s">
        <v>38</v>
      </c>
      <c r="G50" s="1" t="s">
        <v>46</v>
      </c>
      <c r="H50" s="1" t="s">
        <v>414</v>
      </c>
      <c r="I50" s="1" t="s">
        <v>43</v>
      </c>
      <c r="J50" s="1" t="s">
        <v>44</v>
      </c>
      <c r="K50" s="1" t="s">
        <v>310</v>
      </c>
      <c r="L50" s="1" t="s">
        <v>311</v>
      </c>
      <c r="M50" s="1" t="s">
        <v>42</v>
      </c>
      <c r="N50" s="1" t="s">
        <v>370</v>
      </c>
      <c r="O50" s="8">
        <v>0</v>
      </c>
      <c r="P50" s="5">
        <v>0</v>
      </c>
      <c r="Q50" s="30">
        <v>1</v>
      </c>
      <c r="R50" t="s">
        <v>703</v>
      </c>
    </row>
    <row r="51" spans="1:18" ht="15.75" thickBot="1" x14ac:dyDescent="0.3">
      <c r="A51" s="18" t="s">
        <v>36</v>
      </c>
      <c r="B51" s="1" t="s">
        <v>410</v>
      </c>
      <c r="C51" s="1" t="s">
        <v>203</v>
      </c>
      <c r="D51" s="1" t="s">
        <v>14</v>
      </c>
      <c r="E51" s="1" t="s">
        <v>37</v>
      </c>
      <c r="F51" s="1" t="s">
        <v>38</v>
      </c>
      <c r="G51" s="1" t="s">
        <v>46</v>
      </c>
      <c r="H51" s="1" t="s">
        <v>414</v>
      </c>
      <c r="I51" s="1" t="s">
        <v>43</v>
      </c>
      <c r="J51" s="1" t="s">
        <v>44</v>
      </c>
      <c r="K51" s="1" t="s">
        <v>310</v>
      </c>
      <c r="L51" s="1" t="s">
        <v>311</v>
      </c>
      <c r="M51" s="1" t="s">
        <v>42</v>
      </c>
      <c r="N51" s="1" t="s">
        <v>210</v>
      </c>
      <c r="O51" s="6">
        <v>100</v>
      </c>
      <c r="P51" s="4">
        <v>13</v>
      </c>
      <c r="Q51" s="29">
        <v>13</v>
      </c>
      <c r="R51" t="s">
        <v>702</v>
      </c>
    </row>
    <row r="52" spans="1:18" ht="15.75" thickBot="1" x14ac:dyDescent="0.3">
      <c r="A52" s="18" t="s">
        <v>36</v>
      </c>
      <c r="B52" s="1" t="s">
        <v>410</v>
      </c>
      <c r="C52" s="1" t="s">
        <v>203</v>
      </c>
      <c r="D52" s="1" t="s">
        <v>14</v>
      </c>
      <c r="E52" s="1" t="s">
        <v>37</v>
      </c>
      <c r="F52" s="1" t="s">
        <v>38</v>
      </c>
      <c r="G52" s="1" t="s">
        <v>46</v>
      </c>
      <c r="H52" s="1" t="s">
        <v>414</v>
      </c>
      <c r="I52" s="1" t="s">
        <v>43</v>
      </c>
      <c r="J52" s="1" t="s">
        <v>44</v>
      </c>
      <c r="K52" s="1" t="s">
        <v>310</v>
      </c>
      <c r="L52" s="1" t="s">
        <v>311</v>
      </c>
      <c r="M52" s="1" t="s">
        <v>42</v>
      </c>
      <c r="N52" s="1" t="s">
        <v>305</v>
      </c>
      <c r="O52" s="8">
        <v>100</v>
      </c>
      <c r="P52" s="5">
        <v>6</v>
      </c>
      <c r="Q52" s="30">
        <v>6</v>
      </c>
      <c r="R52" t="s">
        <v>702</v>
      </c>
    </row>
    <row r="53" spans="1:18" ht="15.75" thickBot="1" x14ac:dyDescent="0.3">
      <c r="A53" s="18" t="s">
        <v>36</v>
      </c>
      <c r="B53" s="1" t="s">
        <v>410</v>
      </c>
      <c r="C53" s="1" t="s">
        <v>203</v>
      </c>
      <c r="D53" s="1" t="s">
        <v>14</v>
      </c>
      <c r="E53" s="1" t="s">
        <v>37</v>
      </c>
      <c r="F53" s="1" t="s">
        <v>38</v>
      </c>
      <c r="G53" s="1" t="s">
        <v>46</v>
      </c>
      <c r="H53" s="1" t="s">
        <v>414</v>
      </c>
      <c r="I53" s="1" t="s">
        <v>43</v>
      </c>
      <c r="J53" s="1" t="s">
        <v>44</v>
      </c>
      <c r="K53" s="1" t="s">
        <v>310</v>
      </c>
      <c r="L53" s="1" t="s">
        <v>311</v>
      </c>
      <c r="M53" s="1" t="s">
        <v>42</v>
      </c>
      <c r="N53" s="1" t="s">
        <v>377</v>
      </c>
      <c r="O53" s="6">
        <v>100</v>
      </c>
      <c r="P53" s="4">
        <v>3</v>
      </c>
      <c r="Q53" s="29">
        <v>3</v>
      </c>
      <c r="R53" t="s">
        <v>702</v>
      </c>
    </row>
    <row r="54" spans="1:18" ht="15.75" thickBot="1" x14ac:dyDescent="0.3">
      <c r="A54" s="18" t="s">
        <v>36</v>
      </c>
      <c r="B54" s="1" t="s">
        <v>410</v>
      </c>
      <c r="C54" s="1" t="s">
        <v>203</v>
      </c>
      <c r="D54" s="1" t="s">
        <v>14</v>
      </c>
      <c r="E54" s="1" t="s">
        <v>37</v>
      </c>
      <c r="F54" s="1" t="s">
        <v>38</v>
      </c>
      <c r="G54" s="1" t="s">
        <v>46</v>
      </c>
      <c r="H54" s="1" t="s">
        <v>414</v>
      </c>
      <c r="I54" s="1" t="s">
        <v>43</v>
      </c>
      <c r="J54" s="1" t="s">
        <v>44</v>
      </c>
      <c r="K54" s="1" t="s">
        <v>312</v>
      </c>
      <c r="L54" s="1" t="s">
        <v>313</v>
      </c>
      <c r="M54" s="1" t="s">
        <v>42</v>
      </c>
      <c r="N54" s="1" t="s">
        <v>206</v>
      </c>
      <c r="O54" s="8">
        <v>100</v>
      </c>
      <c r="P54" s="5">
        <v>6</v>
      </c>
      <c r="Q54" s="30">
        <v>6</v>
      </c>
      <c r="R54" t="s">
        <v>702</v>
      </c>
    </row>
    <row r="55" spans="1:18" ht="15.75" thickBot="1" x14ac:dyDescent="0.3">
      <c r="A55" s="18" t="s">
        <v>36</v>
      </c>
      <c r="B55" s="1" t="s">
        <v>410</v>
      </c>
      <c r="C55" s="1" t="s">
        <v>203</v>
      </c>
      <c r="D55" s="1" t="s">
        <v>14</v>
      </c>
      <c r="E55" s="1" t="s">
        <v>37</v>
      </c>
      <c r="F55" s="1" t="s">
        <v>38</v>
      </c>
      <c r="G55" s="1" t="s">
        <v>46</v>
      </c>
      <c r="H55" s="1" t="s">
        <v>414</v>
      </c>
      <c r="I55" s="1" t="s">
        <v>140</v>
      </c>
      <c r="J55" s="1" t="s">
        <v>141</v>
      </c>
      <c r="K55" s="1" t="s">
        <v>241</v>
      </c>
      <c r="L55" s="1" t="s">
        <v>242</v>
      </c>
      <c r="M55" s="1" t="s">
        <v>42</v>
      </c>
      <c r="N55" s="1" t="s">
        <v>214</v>
      </c>
      <c r="O55" s="6">
        <v>100</v>
      </c>
      <c r="P55" s="4">
        <v>10</v>
      </c>
      <c r="Q55" s="29">
        <v>10</v>
      </c>
      <c r="R55" t="s">
        <v>702</v>
      </c>
    </row>
    <row r="56" spans="1:18" ht="15.75" thickBot="1" x14ac:dyDescent="0.3">
      <c r="A56" s="18" t="s">
        <v>36</v>
      </c>
      <c r="B56" s="1" t="s">
        <v>410</v>
      </c>
      <c r="C56" s="1" t="s">
        <v>203</v>
      </c>
      <c r="D56" s="1" t="s">
        <v>14</v>
      </c>
      <c r="E56" s="1" t="s">
        <v>37</v>
      </c>
      <c r="F56" s="1" t="s">
        <v>38</v>
      </c>
      <c r="G56" s="1" t="s">
        <v>46</v>
      </c>
      <c r="H56" s="1" t="s">
        <v>414</v>
      </c>
      <c r="I56" s="1" t="s">
        <v>140</v>
      </c>
      <c r="J56" s="1" t="s">
        <v>141</v>
      </c>
      <c r="K56" s="1" t="s">
        <v>244</v>
      </c>
      <c r="L56" s="1" t="s">
        <v>245</v>
      </c>
      <c r="M56" s="1" t="s">
        <v>42</v>
      </c>
      <c r="N56" s="1" t="s">
        <v>206</v>
      </c>
      <c r="O56" s="8">
        <v>100</v>
      </c>
      <c r="P56" s="5">
        <v>1</v>
      </c>
      <c r="Q56" s="30">
        <v>1</v>
      </c>
      <c r="R56" t="s">
        <v>702</v>
      </c>
    </row>
    <row r="57" spans="1:18" ht="15.75" thickBot="1" x14ac:dyDescent="0.3">
      <c r="A57" s="18" t="s">
        <v>36</v>
      </c>
      <c r="B57" s="1" t="s">
        <v>410</v>
      </c>
      <c r="C57" s="1" t="s">
        <v>203</v>
      </c>
      <c r="D57" s="1" t="s">
        <v>14</v>
      </c>
      <c r="E57" s="1" t="s">
        <v>37</v>
      </c>
      <c r="F57" s="1" t="s">
        <v>38</v>
      </c>
      <c r="G57" s="1" t="s">
        <v>46</v>
      </c>
      <c r="H57" s="1" t="s">
        <v>414</v>
      </c>
      <c r="I57" s="1" t="s">
        <v>140</v>
      </c>
      <c r="J57" s="1" t="s">
        <v>141</v>
      </c>
      <c r="K57" s="1" t="s">
        <v>247</v>
      </c>
      <c r="L57" s="1" t="s">
        <v>248</v>
      </c>
      <c r="M57" s="1" t="s">
        <v>42</v>
      </c>
      <c r="N57" s="1" t="s">
        <v>206</v>
      </c>
      <c r="O57" s="6">
        <v>100</v>
      </c>
      <c r="P57" s="4">
        <v>14</v>
      </c>
      <c r="Q57" s="29">
        <v>14</v>
      </c>
      <c r="R57" t="s">
        <v>702</v>
      </c>
    </row>
    <row r="58" spans="1:18" ht="15.75" thickBot="1" x14ac:dyDescent="0.3">
      <c r="A58" s="18" t="s">
        <v>36</v>
      </c>
      <c r="B58" s="1" t="s">
        <v>410</v>
      </c>
      <c r="C58" s="1" t="s">
        <v>203</v>
      </c>
      <c r="D58" s="1" t="s">
        <v>14</v>
      </c>
      <c r="E58" s="1" t="s">
        <v>37</v>
      </c>
      <c r="F58" s="1" t="s">
        <v>38</v>
      </c>
      <c r="G58" s="1" t="s">
        <v>46</v>
      </c>
      <c r="H58" s="1" t="s">
        <v>414</v>
      </c>
      <c r="I58" s="1" t="s">
        <v>140</v>
      </c>
      <c r="J58" s="1" t="s">
        <v>141</v>
      </c>
      <c r="K58" s="1" t="s">
        <v>250</v>
      </c>
      <c r="L58" s="1" t="s">
        <v>251</v>
      </c>
      <c r="M58" s="1" t="s">
        <v>42</v>
      </c>
      <c r="N58" s="1" t="s">
        <v>206</v>
      </c>
      <c r="O58" s="8">
        <v>100</v>
      </c>
      <c r="P58" s="5">
        <v>12</v>
      </c>
      <c r="Q58" s="30">
        <v>12</v>
      </c>
      <c r="R58" t="s">
        <v>702</v>
      </c>
    </row>
    <row r="59" spans="1:18" ht="15.75" thickBot="1" x14ac:dyDescent="0.3">
      <c r="A59" s="18" t="s">
        <v>36</v>
      </c>
      <c r="B59" s="1" t="s">
        <v>410</v>
      </c>
      <c r="C59" s="1" t="s">
        <v>203</v>
      </c>
      <c r="D59" s="1" t="s">
        <v>14</v>
      </c>
      <c r="E59" s="1" t="s">
        <v>37</v>
      </c>
      <c r="F59" s="1" t="s">
        <v>38</v>
      </c>
      <c r="G59" s="1" t="s">
        <v>46</v>
      </c>
      <c r="H59" s="1" t="s">
        <v>414</v>
      </c>
      <c r="I59" s="1" t="s">
        <v>140</v>
      </c>
      <c r="J59" s="1" t="s">
        <v>141</v>
      </c>
      <c r="K59" s="1" t="s">
        <v>250</v>
      </c>
      <c r="L59" s="1" t="s">
        <v>251</v>
      </c>
      <c r="M59" s="1" t="s">
        <v>42</v>
      </c>
      <c r="N59" s="1" t="s">
        <v>214</v>
      </c>
      <c r="O59" s="6">
        <v>100</v>
      </c>
      <c r="P59" s="4">
        <v>2</v>
      </c>
      <c r="Q59" s="29">
        <v>2</v>
      </c>
      <c r="R59" t="s">
        <v>702</v>
      </c>
    </row>
    <row r="60" spans="1:18" ht="15.75" thickBot="1" x14ac:dyDescent="0.3">
      <c r="A60" s="18" t="s">
        <v>36</v>
      </c>
      <c r="B60" s="1" t="s">
        <v>410</v>
      </c>
      <c r="C60" s="1" t="s">
        <v>203</v>
      </c>
      <c r="D60" s="1" t="s">
        <v>14</v>
      </c>
      <c r="E60" s="1" t="s">
        <v>37</v>
      </c>
      <c r="F60" s="1" t="s">
        <v>38</v>
      </c>
      <c r="G60" s="1" t="s">
        <v>46</v>
      </c>
      <c r="H60" s="1" t="s">
        <v>414</v>
      </c>
      <c r="I60" s="1" t="s">
        <v>140</v>
      </c>
      <c r="J60" s="1" t="s">
        <v>141</v>
      </c>
      <c r="K60" s="1" t="s">
        <v>253</v>
      </c>
      <c r="L60" s="1" t="s">
        <v>254</v>
      </c>
      <c r="M60" s="1" t="s">
        <v>42</v>
      </c>
      <c r="N60" s="1" t="s">
        <v>206</v>
      </c>
      <c r="O60" s="8">
        <v>100</v>
      </c>
      <c r="P60" s="5">
        <v>12</v>
      </c>
      <c r="Q60" s="30">
        <v>12</v>
      </c>
      <c r="R60" t="s">
        <v>702</v>
      </c>
    </row>
    <row r="61" spans="1:18" ht="15.75" thickBot="1" x14ac:dyDescent="0.3">
      <c r="A61" s="18" t="s">
        <v>36</v>
      </c>
      <c r="B61" s="1" t="s">
        <v>410</v>
      </c>
      <c r="C61" s="1" t="s">
        <v>203</v>
      </c>
      <c r="D61" s="1" t="s">
        <v>14</v>
      </c>
      <c r="E61" s="1" t="s">
        <v>37</v>
      </c>
      <c r="F61" s="1" t="s">
        <v>38</v>
      </c>
      <c r="G61" s="1" t="s">
        <v>46</v>
      </c>
      <c r="H61" s="1" t="s">
        <v>414</v>
      </c>
      <c r="I61" s="1" t="s">
        <v>140</v>
      </c>
      <c r="J61" s="1" t="s">
        <v>141</v>
      </c>
      <c r="K61" s="1" t="s">
        <v>253</v>
      </c>
      <c r="L61" s="1" t="s">
        <v>254</v>
      </c>
      <c r="M61" s="1" t="s">
        <v>42</v>
      </c>
      <c r="N61" s="1" t="s">
        <v>214</v>
      </c>
      <c r="O61" s="6">
        <v>100</v>
      </c>
      <c r="P61" s="4">
        <v>2</v>
      </c>
      <c r="Q61" s="29">
        <v>2</v>
      </c>
      <c r="R61" t="s">
        <v>702</v>
      </c>
    </row>
    <row r="62" spans="1:18" ht="15.75" thickBot="1" x14ac:dyDescent="0.3">
      <c r="A62" s="18" t="s">
        <v>36</v>
      </c>
      <c r="B62" s="1" t="s">
        <v>410</v>
      </c>
      <c r="C62" s="1" t="s">
        <v>203</v>
      </c>
      <c r="D62" s="1" t="s">
        <v>14</v>
      </c>
      <c r="E62" s="1" t="s">
        <v>37</v>
      </c>
      <c r="F62" s="1" t="s">
        <v>38</v>
      </c>
      <c r="G62" s="1" t="s">
        <v>46</v>
      </c>
      <c r="H62" s="1" t="s">
        <v>414</v>
      </c>
      <c r="I62" s="1" t="s">
        <v>140</v>
      </c>
      <c r="J62" s="1" t="s">
        <v>141</v>
      </c>
      <c r="K62" s="1" t="s">
        <v>256</v>
      </c>
      <c r="L62" s="1" t="s">
        <v>257</v>
      </c>
      <c r="M62" s="1" t="s">
        <v>42</v>
      </c>
      <c r="N62" s="1" t="s">
        <v>206</v>
      </c>
      <c r="O62" s="8">
        <v>100</v>
      </c>
      <c r="P62" s="5">
        <v>12</v>
      </c>
      <c r="Q62" s="30">
        <v>12</v>
      </c>
      <c r="R62" t="s">
        <v>702</v>
      </c>
    </row>
    <row r="63" spans="1:18" ht="15.75" thickBot="1" x14ac:dyDescent="0.3">
      <c r="A63" s="18" t="s">
        <v>36</v>
      </c>
      <c r="B63" s="1" t="s">
        <v>410</v>
      </c>
      <c r="C63" s="1" t="s">
        <v>203</v>
      </c>
      <c r="D63" s="1" t="s">
        <v>14</v>
      </c>
      <c r="E63" s="1" t="s">
        <v>37</v>
      </c>
      <c r="F63" s="1" t="s">
        <v>38</v>
      </c>
      <c r="G63" s="1" t="s">
        <v>46</v>
      </c>
      <c r="H63" s="1" t="s">
        <v>414</v>
      </c>
      <c r="I63" s="1" t="s">
        <v>140</v>
      </c>
      <c r="J63" s="1" t="s">
        <v>141</v>
      </c>
      <c r="K63" s="1" t="s">
        <v>256</v>
      </c>
      <c r="L63" s="1" t="s">
        <v>257</v>
      </c>
      <c r="M63" s="1" t="s">
        <v>42</v>
      </c>
      <c r="N63" s="1" t="s">
        <v>214</v>
      </c>
      <c r="O63" s="6">
        <v>100</v>
      </c>
      <c r="P63" s="4">
        <v>2</v>
      </c>
      <c r="Q63" s="29">
        <v>2</v>
      </c>
      <c r="R63" t="s">
        <v>702</v>
      </c>
    </row>
    <row r="64" spans="1:18" ht="15.75" thickBot="1" x14ac:dyDescent="0.3">
      <c r="A64" s="18" t="s">
        <v>36</v>
      </c>
      <c r="B64" s="1" t="s">
        <v>410</v>
      </c>
      <c r="C64" s="1" t="s">
        <v>203</v>
      </c>
      <c r="D64" s="1" t="s">
        <v>14</v>
      </c>
      <c r="E64" s="1" t="s">
        <v>37</v>
      </c>
      <c r="F64" s="1" t="s">
        <v>38</v>
      </c>
      <c r="G64" s="1" t="s">
        <v>46</v>
      </c>
      <c r="H64" s="1" t="s">
        <v>414</v>
      </c>
      <c r="I64" s="1" t="s">
        <v>140</v>
      </c>
      <c r="J64" s="1" t="s">
        <v>141</v>
      </c>
      <c r="K64" s="1" t="s">
        <v>258</v>
      </c>
      <c r="L64" s="1" t="s">
        <v>259</v>
      </c>
      <c r="M64" s="1" t="s">
        <v>42</v>
      </c>
      <c r="N64" s="1" t="s">
        <v>206</v>
      </c>
      <c r="O64" s="8">
        <v>100</v>
      </c>
      <c r="P64" s="5">
        <v>11</v>
      </c>
      <c r="Q64" s="30">
        <v>11</v>
      </c>
      <c r="R64" t="s">
        <v>702</v>
      </c>
    </row>
    <row r="65" spans="1:18" ht="15.75" thickBot="1" x14ac:dyDescent="0.3">
      <c r="A65" s="18" t="s">
        <v>36</v>
      </c>
      <c r="B65" s="1" t="s">
        <v>410</v>
      </c>
      <c r="C65" s="1" t="s">
        <v>203</v>
      </c>
      <c r="D65" s="1" t="s">
        <v>14</v>
      </c>
      <c r="E65" s="1" t="s">
        <v>37</v>
      </c>
      <c r="F65" s="1" t="s">
        <v>38</v>
      </c>
      <c r="G65" s="1" t="s">
        <v>46</v>
      </c>
      <c r="H65" s="1" t="s">
        <v>414</v>
      </c>
      <c r="I65" s="1" t="s">
        <v>140</v>
      </c>
      <c r="J65" s="1" t="s">
        <v>141</v>
      </c>
      <c r="K65" s="1" t="s">
        <v>258</v>
      </c>
      <c r="L65" s="1" t="s">
        <v>259</v>
      </c>
      <c r="M65" s="1" t="s">
        <v>42</v>
      </c>
      <c r="N65" s="1" t="s">
        <v>214</v>
      </c>
      <c r="O65" s="6">
        <v>100</v>
      </c>
      <c r="P65" s="4">
        <v>2</v>
      </c>
      <c r="Q65" s="29">
        <v>2</v>
      </c>
      <c r="R65" t="s">
        <v>702</v>
      </c>
    </row>
    <row r="66" spans="1:18" ht="15.75" thickBot="1" x14ac:dyDescent="0.3">
      <c r="A66" s="18" t="s">
        <v>36</v>
      </c>
      <c r="B66" s="1" t="s">
        <v>410</v>
      </c>
      <c r="C66" s="1" t="s">
        <v>203</v>
      </c>
      <c r="D66" s="1" t="s">
        <v>14</v>
      </c>
      <c r="E66" s="1" t="s">
        <v>37</v>
      </c>
      <c r="F66" s="1" t="s">
        <v>38</v>
      </c>
      <c r="G66" s="1" t="s">
        <v>46</v>
      </c>
      <c r="H66" s="1" t="s">
        <v>414</v>
      </c>
      <c r="I66" s="1" t="s">
        <v>140</v>
      </c>
      <c r="J66" s="1" t="s">
        <v>141</v>
      </c>
      <c r="K66" s="1" t="s">
        <v>260</v>
      </c>
      <c r="L66" s="1" t="s">
        <v>261</v>
      </c>
      <c r="M66" s="1" t="s">
        <v>42</v>
      </c>
      <c r="N66" s="1" t="s">
        <v>206</v>
      </c>
      <c r="O66" s="8">
        <v>100</v>
      </c>
      <c r="P66" s="5">
        <v>5</v>
      </c>
      <c r="Q66" s="30">
        <v>5</v>
      </c>
      <c r="R66" t="s">
        <v>702</v>
      </c>
    </row>
    <row r="67" spans="1:18" ht="15.75" thickBot="1" x14ac:dyDescent="0.3">
      <c r="A67" s="18" t="s">
        <v>36</v>
      </c>
      <c r="B67" s="1" t="s">
        <v>410</v>
      </c>
      <c r="C67" s="1" t="s">
        <v>203</v>
      </c>
      <c r="D67" s="1" t="s">
        <v>14</v>
      </c>
      <c r="E67" s="1" t="s">
        <v>37</v>
      </c>
      <c r="F67" s="1" t="s">
        <v>38</v>
      </c>
      <c r="G67" s="1" t="s">
        <v>46</v>
      </c>
      <c r="H67" s="1" t="s">
        <v>414</v>
      </c>
      <c r="I67" s="1" t="s">
        <v>140</v>
      </c>
      <c r="J67" s="1" t="s">
        <v>141</v>
      </c>
      <c r="K67" s="1" t="s">
        <v>263</v>
      </c>
      <c r="L67" s="1" t="s">
        <v>264</v>
      </c>
      <c r="M67" s="1" t="s">
        <v>42</v>
      </c>
      <c r="N67" s="1" t="s">
        <v>206</v>
      </c>
      <c r="O67" s="6">
        <v>100</v>
      </c>
      <c r="P67" s="4">
        <v>3</v>
      </c>
      <c r="Q67" s="29">
        <v>3</v>
      </c>
      <c r="R67" t="s">
        <v>702</v>
      </c>
    </row>
    <row r="68" spans="1:18" ht="15.75" thickBot="1" x14ac:dyDescent="0.3">
      <c r="A68" s="18" t="s">
        <v>36</v>
      </c>
      <c r="B68" s="1" t="s">
        <v>410</v>
      </c>
      <c r="C68" s="1" t="s">
        <v>203</v>
      </c>
      <c r="D68" s="1" t="s">
        <v>14</v>
      </c>
      <c r="E68" s="1" t="s">
        <v>37</v>
      </c>
      <c r="F68" s="1" t="s">
        <v>38</v>
      </c>
      <c r="G68" s="1" t="s">
        <v>46</v>
      </c>
      <c r="H68" s="1" t="s">
        <v>414</v>
      </c>
      <c r="I68" s="1" t="s">
        <v>140</v>
      </c>
      <c r="J68" s="1" t="s">
        <v>141</v>
      </c>
      <c r="K68" s="1" t="s">
        <v>263</v>
      </c>
      <c r="L68" s="1" t="s">
        <v>264</v>
      </c>
      <c r="M68" s="1" t="s">
        <v>42</v>
      </c>
      <c r="N68" s="1" t="s">
        <v>214</v>
      </c>
      <c r="O68" s="8">
        <v>100</v>
      </c>
      <c r="P68" s="5">
        <v>4</v>
      </c>
      <c r="Q68" s="30">
        <v>4</v>
      </c>
      <c r="R68" t="s">
        <v>702</v>
      </c>
    </row>
    <row r="69" spans="1:18" ht="15.75" thickBot="1" x14ac:dyDescent="0.3">
      <c r="A69" s="18" t="s">
        <v>36</v>
      </c>
      <c r="B69" s="1" t="s">
        <v>410</v>
      </c>
      <c r="C69" s="1" t="s">
        <v>203</v>
      </c>
      <c r="D69" s="1" t="s">
        <v>14</v>
      </c>
      <c r="E69" s="1" t="s">
        <v>37</v>
      </c>
      <c r="F69" s="1" t="s">
        <v>38</v>
      </c>
      <c r="G69" s="1" t="s">
        <v>46</v>
      </c>
      <c r="H69" s="1" t="s">
        <v>414</v>
      </c>
      <c r="I69" s="1" t="s">
        <v>140</v>
      </c>
      <c r="J69" s="1" t="s">
        <v>141</v>
      </c>
      <c r="K69" s="1" t="s">
        <v>266</v>
      </c>
      <c r="L69" s="1" t="s">
        <v>267</v>
      </c>
      <c r="M69" s="1" t="s">
        <v>42</v>
      </c>
      <c r="N69" s="1" t="s">
        <v>206</v>
      </c>
      <c r="O69" s="6">
        <v>100</v>
      </c>
      <c r="P69" s="4">
        <v>3</v>
      </c>
      <c r="Q69" s="29">
        <v>3</v>
      </c>
      <c r="R69" t="s">
        <v>702</v>
      </c>
    </row>
    <row r="70" spans="1:18" ht="15.75" thickBot="1" x14ac:dyDescent="0.3">
      <c r="A70" s="18" t="s">
        <v>36</v>
      </c>
      <c r="B70" s="1" t="s">
        <v>410</v>
      </c>
      <c r="C70" s="1" t="s">
        <v>203</v>
      </c>
      <c r="D70" s="1" t="s">
        <v>14</v>
      </c>
      <c r="E70" s="1" t="s">
        <v>37</v>
      </c>
      <c r="F70" s="1" t="s">
        <v>38</v>
      </c>
      <c r="G70" s="1" t="s">
        <v>46</v>
      </c>
      <c r="H70" s="1" t="s">
        <v>414</v>
      </c>
      <c r="I70" s="1" t="s">
        <v>140</v>
      </c>
      <c r="J70" s="1" t="s">
        <v>141</v>
      </c>
      <c r="K70" s="1" t="s">
        <v>266</v>
      </c>
      <c r="L70" s="1" t="s">
        <v>267</v>
      </c>
      <c r="M70" s="1" t="s">
        <v>42</v>
      </c>
      <c r="N70" s="1" t="s">
        <v>214</v>
      </c>
      <c r="O70" s="8">
        <v>100</v>
      </c>
      <c r="P70" s="5">
        <v>4</v>
      </c>
      <c r="Q70" s="30">
        <v>4</v>
      </c>
      <c r="R70" t="s">
        <v>702</v>
      </c>
    </row>
    <row r="71" spans="1:18" ht="15.75" thickBot="1" x14ac:dyDescent="0.3">
      <c r="A71" s="18" t="s">
        <v>36</v>
      </c>
      <c r="B71" s="1" t="s">
        <v>410</v>
      </c>
      <c r="C71" s="1" t="s">
        <v>203</v>
      </c>
      <c r="D71" s="1" t="s">
        <v>14</v>
      </c>
      <c r="E71" s="1" t="s">
        <v>37</v>
      </c>
      <c r="F71" s="1" t="s">
        <v>38</v>
      </c>
      <c r="G71" s="1" t="s">
        <v>46</v>
      </c>
      <c r="H71" s="1" t="s">
        <v>414</v>
      </c>
      <c r="I71" s="1" t="s">
        <v>140</v>
      </c>
      <c r="J71" s="1" t="s">
        <v>141</v>
      </c>
      <c r="K71" s="1" t="s">
        <v>268</v>
      </c>
      <c r="L71" s="1" t="s">
        <v>269</v>
      </c>
      <c r="M71" s="1" t="s">
        <v>42</v>
      </c>
      <c r="N71" s="1" t="s">
        <v>206</v>
      </c>
      <c r="O71" s="6">
        <v>100</v>
      </c>
      <c r="P71" s="4">
        <v>4</v>
      </c>
      <c r="Q71" s="29">
        <v>4</v>
      </c>
      <c r="R71" t="s">
        <v>702</v>
      </c>
    </row>
    <row r="72" spans="1:18" ht="15.75" thickBot="1" x14ac:dyDescent="0.3">
      <c r="A72" s="18" t="s">
        <v>36</v>
      </c>
      <c r="B72" s="1" t="s">
        <v>410</v>
      </c>
      <c r="C72" s="1" t="s">
        <v>203</v>
      </c>
      <c r="D72" s="1" t="s">
        <v>14</v>
      </c>
      <c r="E72" s="1" t="s">
        <v>37</v>
      </c>
      <c r="F72" s="1" t="s">
        <v>38</v>
      </c>
      <c r="G72" s="1" t="s">
        <v>46</v>
      </c>
      <c r="H72" s="1" t="s">
        <v>414</v>
      </c>
      <c r="I72" s="1" t="s">
        <v>140</v>
      </c>
      <c r="J72" s="1" t="s">
        <v>141</v>
      </c>
      <c r="K72" s="1" t="s">
        <v>271</v>
      </c>
      <c r="L72" s="1" t="s">
        <v>272</v>
      </c>
      <c r="M72" s="1" t="s">
        <v>42</v>
      </c>
      <c r="N72" s="1" t="s">
        <v>206</v>
      </c>
      <c r="O72" s="8">
        <v>100</v>
      </c>
      <c r="P72" s="5">
        <v>3</v>
      </c>
      <c r="Q72" s="30">
        <v>3</v>
      </c>
      <c r="R72" t="s">
        <v>702</v>
      </c>
    </row>
    <row r="73" spans="1:18" ht="15.75" thickBot="1" x14ac:dyDescent="0.3">
      <c r="A73" s="18" t="s">
        <v>36</v>
      </c>
      <c r="B73" s="1" t="s">
        <v>410</v>
      </c>
      <c r="C73" s="1" t="s">
        <v>203</v>
      </c>
      <c r="D73" s="1" t="s">
        <v>14</v>
      </c>
      <c r="E73" s="1" t="s">
        <v>37</v>
      </c>
      <c r="F73" s="1" t="s">
        <v>38</v>
      </c>
      <c r="G73" s="1" t="s">
        <v>46</v>
      </c>
      <c r="H73" s="1" t="s">
        <v>414</v>
      </c>
      <c r="I73" s="1" t="s">
        <v>140</v>
      </c>
      <c r="J73" s="1" t="s">
        <v>141</v>
      </c>
      <c r="K73" s="1" t="s">
        <v>274</v>
      </c>
      <c r="L73" s="1" t="s">
        <v>275</v>
      </c>
      <c r="M73" s="1" t="s">
        <v>42</v>
      </c>
      <c r="N73" s="1" t="s">
        <v>206</v>
      </c>
      <c r="O73" s="6">
        <v>100</v>
      </c>
      <c r="P73" s="4">
        <v>3</v>
      </c>
      <c r="Q73" s="29">
        <v>3</v>
      </c>
      <c r="R73" t="s">
        <v>702</v>
      </c>
    </row>
    <row r="74" spans="1:18" ht="15.75" thickBot="1" x14ac:dyDescent="0.3">
      <c r="A74" s="18" t="s">
        <v>36</v>
      </c>
      <c r="B74" s="1" t="s">
        <v>410</v>
      </c>
      <c r="C74" s="1" t="s">
        <v>203</v>
      </c>
      <c r="D74" s="1" t="s">
        <v>14</v>
      </c>
      <c r="E74" s="1" t="s">
        <v>37</v>
      </c>
      <c r="F74" s="1" t="s">
        <v>38</v>
      </c>
      <c r="G74" s="1" t="s">
        <v>46</v>
      </c>
      <c r="H74" s="1" t="s">
        <v>414</v>
      </c>
      <c r="I74" s="1" t="s">
        <v>140</v>
      </c>
      <c r="J74" s="1" t="s">
        <v>141</v>
      </c>
      <c r="K74" s="1" t="s">
        <v>276</v>
      </c>
      <c r="L74" s="1" t="s">
        <v>277</v>
      </c>
      <c r="M74" s="1" t="s">
        <v>42</v>
      </c>
      <c r="N74" s="1" t="s">
        <v>206</v>
      </c>
      <c r="O74" s="8">
        <v>100</v>
      </c>
      <c r="P74" s="5">
        <v>25</v>
      </c>
      <c r="Q74" s="30">
        <v>25</v>
      </c>
      <c r="R74" t="s">
        <v>702</v>
      </c>
    </row>
    <row r="75" spans="1:18" ht="15.75" thickBot="1" x14ac:dyDescent="0.3">
      <c r="A75" s="18" t="s">
        <v>36</v>
      </c>
      <c r="B75" s="1" t="s">
        <v>410</v>
      </c>
      <c r="C75" s="1" t="s">
        <v>203</v>
      </c>
      <c r="D75" s="1" t="s">
        <v>14</v>
      </c>
      <c r="E75" s="1" t="s">
        <v>37</v>
      </c>
      <c r="F75" s="1" t="s">
        <v>38</v>
      </c>
      <c r="G75" s="1" t="s">
        <v>46</v>
      </c>
      <c r="H75" s="1" t="s">
        <v>414</v>
      </c>
      <c r="I75" s="1" t="s">
        <v>140</v>
      </c>
      <c r="J75" s="1" t="s">
        <v>141</v>
      </c>
      <c r="K75" s="1" t="s">
        <v>279</v>
      </c>
      <c r="L75" s="1" t="s">
        <v>280</v>
      </c>
      <c r="M75" s="1" t="s">
        <v>42</v>
      </c>
      <c r="N75" s="1" t="s">
        <v>206</v>
      </c>
      <c r="O75" s="6">
        <v>50</v>
      </c>
      <c r="P75" s="4">
        <v>5</v>
      </c>
      <c r="Q75" s="29">
        <v>10</v>
      </c>
      <c r="R75" t="s">
        <v>703</v>
      </c>
    </row>
    <row r="76" spans="1:18" ht="15.75" thickBot="1" x14ac:dyDescent="0.3">
      <c r="A76" s="18" t="s">
        <v>36</v>
      </c>
      <c r="B76" s="1" t="s">
        <v>410</v>
      </c>
      <c r="C76" s="1" t="s">
        <v>203</v>
      </c>
      <c r="D76" s="1" t="s">
        <v>14</v>
      </c>
      <c r="E76" s="1" t="s">
        <v>37</v>
      </c>
      <c r="F76" s="1" t="s">
        <v>38</v>
      </c>
      <c r="G76" s="1" t="s">
        <v>46</v>
      </c>
      <c r="H76" s="1" t="s">
        <v>414</v>
      </c>
      <c r="I76" s="1" t="s">
        <v>140</v>
      </c>
      <c r="J76" s="1" t="s">
        <v>141</v>
      </c>
      <c r="K76" s="1" t="s">
        <v>279</v>
      </c>
      <c r="L76" s="1" t="s">
        <v>280</v>
      </c>
      <c r="M76" s="1" t="s">
        <v>42</v>
      </c>
      <c r="N76" s="1" t="s">
        <v>214</v>
      </c>
      <c r="O76" s="8">
        <v>100</v>
      </c>
      <c r="P76" s="5">
        <v>17</v>
      </c>
      <c r="Q76" s="30">
        <v>17</v>
      </c>
      <c r="R76" t="s">
        <v>702</v>
      </c>
    </row>
    <row r="77" spans="1:18" ht="15.75" thickBot="1" x14ac:dyDescent="0.3">
      <c r="A77" s="18" t="s">
        <v>36</v>
      </c>
      <c r="B77" s="1" t="s">
        <v>410</v>
      </c>
      <c r="C77" s="1" t="s">
        <v>203</v>
      </c>
      <c r="D77" s="1" t="s">
        <v>14</v>
      </c>
      <c r="E77" s="1" t="s">
        <v>135</v>
      </c>
      <c r="F77" s="1" t="s">
        <v>136</v>
      </c>
      <c r="G77" s="1" t="s">
        <v>46</v>
      </c>
      <c r="H77" s="1" t="s">
        <v>414</v>
      </c>
      <c r="I77" s="1" t="s">
        <v>140</v>
      </c>
      <c r="J77" s="1" t="s">
        <v>141</v>
      </c>
      <c r="K77" s="1" t="s">
        <v>343</v>
      </c>
      <c r="L77" s="1" t="s">
        <v>344</v>
      </c>
      <c r="M77" s="1" t="s">
        <v>42</v>
      </c>
      <c r="N77" s="1" t="s">
        <v>305</v>
      </c>
      <c r="O77" s="8">
        <v>100</v>
      </c>
      <c r="P77" s="5">
        <v>9</v>
      </c>
      <c r="Q77" s="30">
        <v>9</v>
      </c>
      <c r="R77" t="s">
        <v>702</v>
      </c>
    </row>
    <row r="78" spans="1:18" x14ac:dyDescent="0.25">
      <c r="A78" s="25" t="s">
        <v>31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6"/>
      <c r="O78" s="31">
        <v>93.729372937293732</v>
      </c>
      <c r="P78" s="32">
        <v>284</v>
      </c>
      <c r="Q78" s="33">
        <v>303</v>
      </c>
      <c r="R78">
        <f>Tbl_ProgramaSemanal[[#This Row],[Indicador cumple sem]]/Tbl_ProgramaSemanal[[#This Row],[Total Op. Programadas]]</f>
        <v>0.93729372937293731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6F08-D0C6-43DB-AFA6-BF170489556C}">
  <dimension ref="A1:T31"/>
  <sheetViews>
    <sheetView topLeftCell="A14" workbookViewId="0">
      <selection activeCell="S18" sqref="S18"/>
    </sheetView>
  </sheetViews>
  <sheetFormatPr baseColWidth="10" defaultRowHeight="15" x14ac:dyDescent="0.25"/>
  <cols>
    <col min="1" max="1" width="30" customWidth="1"/>
    <col min="2" max="2" width="22.140625" customWidth="1"/>
    <col min="3" max="3" width="26.140625" customWidth="1"/>
    <col min="4" max="4" width="23.5703125" customWidth="1"/>
    <col min="5" max="5" width="14.28515625" customWidth="1"/>
    <col min="6" max="7" width="12.28515625" customWidth="1"/>
    <col min="8" max="8" width="16.7109375" customWidth="1"/>
    <col min="9" max="9" width="12.28515625" customWidth="1"/>
    <col min="10" max="10" width="36" hidden="1" customWidth="1"/>
    <col min="11" max="11" width="33.85546875" hidden="1" customWidth="1"/>
    <col min="12" max="12" width="13.28515625" hidden="1" customWidth="1"/>
    <col min="13" max="13" width="34.7109375" hidden="1" customWidth="1"/>
    <col min="14" max="14" width="13.5703125" hidden="1" customWidth="1"/>
    <col min="15" max="15" width="19.42578125" customWidth="1"/>
    <col min="16" max="16" width="11.7109375" customWidth="1"/>
    <col min="17" max="17" width="16.140625" customWidth="1"/>
    <col min="18" max="18" width="31.7109375" customWidth="1"/>
    <col min="19" max="19" width="28.7109375" customWidth="1"/>
  </cols>
  <sheetData>
    <row r="1" spans="1:20" ht="34.5" thickBot="1" x14ac:dyDescent="0.3">
      <c r="A1" s="18" t="s">
        <v>0</v>
      </c>
      <c r="B1" s="1" t="s">
        <v>1</v>
      </c>
      <c r="C1" s="1" t="s">
        <v>2</v>
      </c>
      <c r="D1" s="1" t="s">
        <v>3</v>
      </c>
      <c r="E1" s="17" t="s">
        <v>9</v>
      </c>
      <c r="F1" s="18" t="s">
        <v>701</v>
      </c>
      <c r="G1" s="17" t="s">
        <v>34</v>
      </c>
      <c r="H1" s="18" t="s">
        <v>691</v>
      </c>
      <c r="I1" s="17" t="s">
        <v>10</v>
      </c>
      <c r="J1" s="18" t="s">
        <v>692</v>
      </c>
      <c r="K1" s="1" t="s">
        <v>7</v>
      </c>
      <c r="L1" s="1" t="s">
        <v>33</v>
      </c>
      <c r="M1" s="1" t="s">
        <v>11</v>
      </c>
      <c r="N1" s="24" t="s">
        <v>704</v>
      </c>
      <c r="O1" s="22" t="s">
        <v>378</v>
      </c>
      <c r="P1" s="22" t="s">
        <v>379</v>
      </c>
      <c r="Q1" s="22" t="s">
        <v>380</v>
      </c>
      <c r="R1" s="22" t="s">
        <v>381</v>
      </c>
      <c r="S1" s="23" t="s">
        <v>382</v>
      </c>
      <c r="T1" s="22" t="s">
        <v>417</v>
      </c>
    </row>
    <row r="2" spans="1:20" ht="15.75" thickBot="1" x14ac:dyDescent="0.3">
      <c r="A2" s="18" t="s">
        <v>203</v>
      </c>
      <c r="B2" s="1" t="s">
        <v>14</v>
      </c>
      <c r="C2" s="1" t="s">
        <v>15</v>
      </c>
      <c r="D2" s="1" t="s">
        <v>149</v>
      </c>
      <c r="E2" s="1" t="s">
        <v>22</v>
      </c>
      <c r="F2" s="1" t="s">
        <v>407</v>
      </c>
      <c r="G2" s="1" t="s">
        <v>141</v>
      </c>
      <c r="H2" s="1" t="s">
        <v>140</v>
      </c>
      <c r="I2" s="1" t="s">
        <v>383</v>
      </c>
      <c r="J2" s="1" t="s">
        <v>384</v>
      </c>
      <c r="K2" s="1" t="s">
        <v>385</v>
      </c>
      <c r="L2" s="1" t="s">
        <v>42</v>
      </c>
      <c r="M2" s="1" t="s">
        <v>30</v>
      </c>
      <c r="N2" s="1" t="s">
        <v>409</v>
      </c>
      <c r="O2" s="6">
        <v>100</v>
      </c>
      <c r="P2" s="6">
        <v>1</v>
      </c>
      <c r="Q2" s="6">
        <v>1</v>
      </c>
      <c r="R2" s="4">
        <v>1</v>
      </c>
      <c r="S2" s="19">
        <v>1</v>
      </c>
      <c r="T2" t="s">
        <v>702</v>
      </c>
    </row>
    <row r="3" spans="1:20" ht="15.75" thickBot="1" x14ac:dyDescent="0.3">
      <c r="A3" s="18" t="s">
        <v>203</v>
      </c>
      <c r="B3" s="1" t="s">
        <v>14</v>
      </c>
      <c r="C3" s="1" t="s">
        <v>15</v>
      </c>
      <c r="D3" s="1" t="s">
        <v>149</v>
      </c>
      <c r="E3" s="1" t="s">
        <v>22</v>
      </c>
      <c r="F3" s="1" t="s">
        <v>407</v>
      </c>
      <c r="G3" s="1" t="s">
        <v>181</v>
      </c>
      <c r="H3" s="1" t="s">
        <v>180</v>
      </c>
      <c r="I3" s="1" t="s">
        <v>386</v>
      </c>
      <c r="J3" s="1" t="s">
        <v>387</v>
      </c>
      <c r="K3" s="1" t="s">
        <v>388</v>
      </c>
      <c r="L3" s="1" t="s">
        <v>42</v>
      </c>
      <c r="M3" s="1" t="s">
        <v>30</v>
      </c>
      <c r="N3" s="1" t="s">
        <v>409</v>
      </c>
      <c r="O3" s="8">
        <v>0</v>
      </c>
      <c r="P3" s="8">
        <v>0</v>
      </c>
      <c r="Q3" s="8">
        <v>1</v>
      </c>
      <c r="R3" s="5">
        <v>0</v>
      </c>
      <c r="S3" s="20">
        <v>1</v>
      </c>
      <c r="T3" t="s">
        <v>703</v>
      </c>
    </row>
    <row r="4" spans="1:20" ht="15.75" thickBot="1" x14ac:dyDescent="0.3">
      <c r="A4" s="18" t="s">
        <v>203</v>
      </c>
      <c r="B4" s="1" t="s">
        <v>14</v>
      </c>
      <c r="C4" s="1" t="s">
        <v>15</v>
      </c>
      <c r="D4" s="1" t="s">
        <v>16</v>
      </c>
      <c r="E4" s="1" t="s">
        <v>22</v>
      </c>
      <c r="F4" s="1" t="s">
        <v>407</v>
      </c>
      <c r="G4" s="1" t="s">
        <v>141</v>
      </c>
      <c r="H4" s="1" t="s">
        <v>140</v>
      </c>
      <c r="I4" s="1" t="s">
        <v>389</v>
      </c>
      <c r="J4" s="1" t="s">
        <v>390</v>
      </c>
      <c r="K4" s="1" t="s">
        <v>152</v>
      </c>
      <c r="L4" s="1" t="s">
        <v>42</v>
      </c>
      <c r="M4" s="1" t="s">
        <v>30</v>
      </c>
      <c r="N4" s="1" t="s">
        <v>409</v>
      </c>
      <c r="O4" s="6">
        <v>0</v>
      </c>
      <c r="P4" s="6">
        <v>0</v>
      </c>
      <c r="Q4" s="6">
        <v>1</v>
      </c>
      <c r="R4" s="4">
        <v>0</v>
      </c>
      <c r="S4" s="19">
        <v>2</v>
      </c>
      <c r="T4" t="s">
        <v>703</v>
      </c>
    </row>
    <row r="5" spans="1:20" ht="15.75" thickBot="1" x14ac:dyDescent="0.3">
      <c r="A5" s="18" t="s">
        <v>203</v>
      </c>
      <c r="B5" s="1" t="s">
        <v>14</v>
      </c>
      <c r="C5" s="1" t="s">
        <v>15</v>
      </c>
      <c r="D5" s="1" t="s">
        <v>16</v>
      </c>
      <c r="E5" s="1" t="s">
        <v>22</v>
      </c>
      <c r="F5" s="1" t="s">
        <v>407</v>
      </c>
      <c r="G5" s="1" t="s">
        <v>141</v>
      </c>
      <c r="H5" s="1" t="s">
        <v>140</v>
      </c>
      <c r="I5" s="1" t="s">
        <v>391</v>
      </c>
      <c r="J5" s="1" t="s">
        <v>392</v>
      </c>
      <c r="K5" s="1" t="s">
        <v>114</v>
      </c>
      <c r="L5" s="1" t="s">
        <v>42</v>
      </c>
      <c r="M5" s="1" t="s">
        <v>30</v>
      </c>
      <c r="N5" s="1" t="s">
        <v>409</v>
      </c>
      <c r="O5" s="8">
        <v>0</v>
      </c>
      <c r="P5" s="8">
        <v>0</v>
      </c>
      <c r="Q5" s="8">
        <v>1</v>
      </c>
      <c r="R5" s="5">
        <v>0</v>
      </c>
      <c r="S5" s="20">
        <v>1</v>
      </c>
      <c r="T5" t="s">
        <v>703</v>
      </c>
    </row>
    <row r="6" spans="1:20" ht="15.75" thickBot="1" x14ac:dyDescent="0.3">
      <c r="A6" s="18" t="s">
        <v>203</v>
      </c>
      <c r="B6" s="1" t="s">
        <v>14</v>
      </c>
      <c r="C6" s="1" t="s">
        <v>15</v>
      </c>
      <c r="D6" s="1" t="s">
        <v>16</v>
      </c>
      <c r="E6" s="1" t="s">
        <v>22</v>
      </c>
      <c r="F6" s="1" t="s">
        <v>407</v>
      </c>
      <c r="G6" s="1" t="s">
        <v>181</v>
      </c>
      <c r="H6" s="1" t="s">
        <v>180</v>
      </c>
      <c r="I6" s="1" t="s">
        <v>393</v>
      </c>
      <c r="J6" s="1" t="s">
        <v>394</v>
      </c>
      <c r="K6" s="1" t="s">
        <v>385</v>
      </c>
      <c r="L6" s="1" t="s">
        <v>42</v>
      </c>
      <c r="M6" s="1" t="s">
        <v>30</v>
      </c>
      <c r="N6" s="1" t="s">
        <v>409</v>
      </c>
      <c r="O6" s="6">
        <v>100</v>
      </c>
      <c r="P6" s="6">
        <v>1</v>
      </c>
      <c r="Q6" s="6">
        <v>1</v>
      </c>
      <c r="R6" s="4">
        <v>4</v>
      </c>
      <c r="S6" s="19">
        <v>4</v>
      </c>
      <c r="T6" t="s">
        <v>702</v>
      </c>
    </row>
    <row r="7" spans="1:20" ht="15.75" thickBot="1" x14ac:dyDescent="0.3">
      <c r="A7" s="18" t="s">
        <v>203</v>
      </c>
      <c r="B7" s="1" t="s">
        <v>14</v>
      </c>
      <c r="C7" s="1" t="s">
        <v>15</v>
      </c>
      <c r="D7" s="1" t="s">
        <v>16</v>
      </c>
      <c r="E7" s="1" t="s">
        <v>22</v>
      </c>
      <c r="F7" s="1" t="s">
        <v>407</v>
      </c>
      <c r="G7" s="1" t="s">
        <v>181</v>
      </c>
      <c r="H7" s="1" t="s">
        <v>180</v>
      </c>
      <c r="I7" s="1" t="s">
        <v>395</v>
      </c>
      <c r="J7" s="1" t="s">
        <v>396</v>
      </c>
      <c r="K7" s="1" t="s">
        <v>385</v>
      </c>
      <c r="L7" s="1" t="s">
        <v>42</v>
      </c>
      <c r="M7" s="1" t="s">
        <v>30</v>
      </c>
      <c r="N7" s="1" t="s">
        <v>409</v>
      </c>
      <c r="O7" s="8">
        <v>100</v>
      </c>
      <c r="P7" s="8">
        <v>1</v>
      </c>
      <c r="Q7" s="8">
        <v>1</v>
      </c>
      <c r="R7" s="5">
        <v>4</v>
      </c>
      <c r="S7" s="20">
        <v>4</v>
      </c>
      <c r="T7" t="s">
        <v>702</v>
      </c>
    </row>
    <row r="8" spans="1:20" ht="15.75" thickBot="1" x14ac:dyDescent="0.3">
      <c r="A8" s="18" t="s">
        <v>203</v>
      </c>
      <c r="B8" s="1" t="s">
        <v>14</v>
      </c>
      <c r="C8" s="1" t="s">
        <v>15</v>
      </c>
      <c r="D8" s="1" t="s">
        <v>16</v>
      </c>
      <c r="E8" s="1" t="s">
        <v>22</v>
      </c>
      <c r="F8" s="1" t="s">
        <v>407</v>
      </c>
      <c r="G8" s="1" t="s">
        <v>181</v>
      </c>
      <c r="H8" s="1" t="s">
        <v>180</v>
      </c>
      <c r="I8" s="1" t="s">
        <v>397</v>
      </c>
      <c r="J8" s="1" t="s">
        <v>398</v>
      </c>
      <c r="K8" s="1" t="s">
        <v>385</v>
      </c>
      <c r="L8" s="1" t="s">
        <v>42</v>
      </c>
      <c r="M8" s="1" t="s">
        <v>30</v>
      </c>
      <c r="N8" s="1" t="s">
        <v>409</v>
      </c>
      <c r="O8" s="6">
        <v>100</v>
      </c>
      <c r="P8" s="6">
        <v>1</v>
      </c>
      <c r="Q8" s="6">
        <v>1</v>
      </c>
      <c r="R8" s="4">
        <v>1</v>
      </c>
      <c r="S8" s="19">
        <v>1</v>
      </c>
      <c r="T8" t="s">
        <v>702</v>
      </c>
    </row>
    <row r="9" spans="1:20" ht="15.75" thickBot="1" x14ac:dyDescent="0.3">
      <c r="A9" s="18" t="s">
        <v>203</v>
      </c>
      <c r="B9" s="1" t="s">
        <v>14</v>
      </c>
      <c r="C9" s="1" t="s">
        <v>15</v>
      </c>
      <c r="D9" s="1" t="s">
        <v>16</v>
      </c>
      <c r="E9" s="1" t="s">
        <v>22</v>
      </c>
      <c r="F9" s="1" t="s">
        <v>407</v>
      </c>
      <c r="G9" s="1" t="s">
        <v>181</v>
      </c>
      <c r="H9" s="1" t="s">
        <v>180</v>
      </c>
      <c r="I9" s="1" t="s">
        <v>399</v>
      </c>
      <c r="J9" s="1" t="s">
        <v>400</v>
      </c>
      <c r="K9" s="1" t="s">
        <v>385</v>
      </c>
      <c r="L9" s="1" t="s">
        <v>42</v>
      </c>
      <c r="M9" s="1" t="s">
        <v>30</v>
      </c>
      <c r="N9" s="1" t="s">
        <v>409</v>
      </c>
      <c r="O9" s="8">
        <v>100</v>
      </c>
      <c r="P9" s="8">
        <v>1</v>
      </c>
      <c r="Q9" s="8">
        <v>1</v>
      </c>
      <c r="R9" s="5">
        <v>1</v>
      </c>
      <c r="S9" s="20">
        <v>1</v>
      </c>
      <c r="T9" t="s">
        <v>702</v>
      </c>
    </row>
    <row r="10" spans="1:20" ht="15.75" thickBot="1" x14ac:dyDescent="0.3">
      <c r="A10" s="18" t="s">
        <v>203</v>
      </c>
      <c r="B10" s="1" t="s">
        <v>14</v>
      </c>
      <c r="C10" s="1" t="s">
        <v>37</v>
      </c>
      <c r="D10" s="1" t="s">
        <v>38</v>
      </c>
      <c r="E10" s="1" t="s">
        <v>36</v>
      </c>
      <c r="F10" s="1" t="s">
        <v>410</v>
      </c>
      <c r="G10" s="1" t="s">
        <v>141</v>
      </c>
      <c r="H10" s="1" t="s">
        <v>140</v>
      </c>
      <c r="I10" s="1" t="s">
        <v>276</v>
      </c>
      <c r="J10" s="1" t="s">
        <v>277</v>
      </c>
      <c r="K10" s="1" t="s">
        <v>385</v>
      </c>
      <c r="L10" s="1" t="s">
        <v>42</v>
      </c>
      <c r="M10" s="1" t="s">
        <v>46</v>
      </c>
      <c r="N10" s="1" t="s">
        <v>414</v>
      </c>
      <c r="O10" s="8">
        <v>100</v>
      </c>
      <c r="P10" s="8">
        <v>1</v>
      </c>
      <c r="Q10" s="8">
        <v>1</v>
      </c>
      <c r="R10" s="5">
        <v>25</v>
      </c>
      <c r="S10" s="20">
        <v>25</v>
      </c>
      <c r="T10" t="s">
        <v>702</v>
      </c>
    </row>
    <row r="11" spans="1:20" ht="15.75" thickBot="1" x14ac:dyDescent="0.3">
      <c r="A11" s="18" t="s">
        <v>203</v>
      </c>
      <c r="B11" s="1" t="s">
        <v>14</v>
      </c>
      <c r="C11" s="1" t="s">
        <v>37</v>
      </c>
      <c r="D11" s="1" t="s">
        <v>38</v>
      </c>
      <c r="E11" s="1" t="s">
        <v>36</v>
      </c>
      <c r="F11" s="1" t="s">
        <v>410</v>
      </c>
      <c r="G11" s="1" t="s">
        <v>141</v>
      </c>
      <c r="H11" s="1" t="s">
        <v>140</v>
      </c>
      <c r="I11" s="1" t="s">
        <v>274</v>
      </c>
      <c r="J11" s="1" t="s">
        <v>275</v>
      </c>
      <c r="K11" s="1" t="s">
        <v>385</v>
      </c>
      <c r="L11" s="1" t="s">
        <v>42</v>
      </c>
      <c r="M11" s="1" t="s">
        <v>46</v>
      </c>
      <c r="N11" s="1" t="s">
        <v>414</v>
      </c>
      <c r="O11" s="6">
        <v>100</v>
      </c>
      <c r="P11" s="6">
        <v>1</v>
      </c>
      <c r="Q11" s="6">
        <v>1</v>
      </c>
      <c r="R11" s="4">
        <v>3</v>
      </c>
      <c r="S11" s="19">
        <v>3</v>
      </c>
      <c r="T11" t="s">
        <v>702</v>
      </c>
    </row>
    <row r="12" spans="1:20" ht="15.75" thickBot="1" x14ac:dyDescent="0.3">
      <c r="A12" s="18" t="s">
        <v>203</v>
      </c>
      <c r="B12" s="1" t="s">
        <v>14</v>
      </c>
      <c r="C12" s="1" t="s">
        <v>37</v>
      </c>
      <c r="D12" s="1" t="s">
        <v>38</v>
      </c>
      <c r="E12" s="1" t="s">
        <v>36</v>
      </c>
      <c r="F12" s="1" t="s">
        <v>410</v>
      </c>
      <c r="G12" s="1" t="s">
        <v>141</v>
      </c>
      <c r="H12" s="1" t="s">
        <v>140</v>
      </c>
      <c r="I12" s="1" t="s">
        <v>271</v>
      </c>
      <c r="J12" s="1" t="s">
        <v>272</v>
      </c>
      <c r="K12" s="1" t="s">
        <v>385</v>
      </c>
      <c r="L12" s="1" t="s">
        <v>42</v>
      </c>
      <c r="M12" s="1" t="s">
        <v>46</v>
      </c>
      <c r="N12" s="1" t="s">
        <v>414</v>
      </c>
      <c r="O12" s="8">
        <v>100</v>
      </c>
      <c r="P12" s="8">
        <v>1</v>
      </c>
      <c r="Q12" s="8">
        <v>1</v>
      </c>
      <c r="R12" s="5">
        <v>3</v>
      </c>
      <c r="S12" s="20">
        <v>3</v>
      </c>
      <c r="T12" t="s">
        <v>702</v>
      </c>
    </row>
    <row r="13" spans="1:20" ht="15.75" thickBot="1" x14ac:dyDescent="0.3">
      <c r="A13" s="18" t="s">
        <v>203</v>
      </c>
      <c r="B13" s="1" t="s">
        <v>14</v>
      </c>
      <c r="C13" s="1" t="s">
        <v>37</v>
      </c>
      <c r="D13" s="1" t="s">
        <v>38</v>
      </c>
      <c r="E13" s="1" t="s">
        <v>36</v>
      </c>
      <c r="F13" s="1" t="s">
        <v>410</v>
      </c>
      <c r="G13" s="1" t="s">
        <v>141</v>
      </c>
      <c r="H13" s="1" t="s">
        <v>140</v>
      </c>
      <c r="I13" s="1" t="s">
        <v>268</v>
      </c>
      <c r="J13" s="1" t="s">
        <v>269</v>
      </c>
      <c r="K13" s="1" t="s">
        <v>385</v>
      </c>
      <c r="L13" s="1" t="s">
        <v>42</v>
      </c>
      <c r="M13" s="1" t="s">
        <v>46</v>
      </c>
      <c r="N13" s="1" t="s">
        <v>414</v>
      </c>
      <c r="O13" s="6">
        <v>100</v>
      </c>
      <c r="P13" s="6">
        <v>1</v>
      </c>
      <c r="Q13" s="6">
        <v>1</v>
      </c>
      <c r="R13" s="4">
        <v>4</v>
      </c>
      <c r="S13" s="19">
        <v>4</v>
      </c>
      <c r="T13" t="s">
        <v>702</v>
      </c>
    </row>
    <row r="14" spans="1:20" ht="15.75" thickBot="1" x14ac:dyDescent="0.3">
      <c r="A14" s="18" t="s">
        <v>203</v>
      </c>
      <c r="B14" s="1" t="s">
        <v>14</v>
      </c>
      <c r="C14" s="1" t="s">
        <v>37</v>
      </c>
      <c r="D14" s="1" t="s">
        <v>38</v>
      </c>
      <c r="E14" s="1" t="s">
        <v>36</v>
      </c>
      <c r="F14" s="1" t="s">
        <v>410</v>
      </c>
      <c r="G14" s="1" t="s">
        <v>141</v>
      </c>
      <c r="H14" s="1" t="s">
        <v>140</v>
      </c>
      <c r="I14" s="1" t="s">
        <v>266</v>
      </c>
      <c r="J14" s="1" t="s">
        <v>267</v>
      </c>
      <c r="K14" s="1" t="s">
        <v>385</v>
      </c>
      <c r="L14" s="1" t="s">
        <v>42</v>
      </c>
      <c r="M14" s="1" t="s">
        <v>46</v>
      </c>
      <c r="N14" s="1" t="s">
        <v>414</v>
      </c>
      <c r="O14" s="8">
        <v>100</v>
      </c>
      <c r="P14" s="8">
        <v>1</v>
      </c>
      <c r="Q14" s="8">
        <v>1</v>
      </c>
      <c r="R14" s="5">
        <v>7</v>
      </c>
      <c r="S14" s="20">
        <v>7</v>
      </c>
      <c r="T14" t="s">
        <v>702</v>
      </c>
    </row>
    <row r="15" spans="1:20" ht="15.75" thickBot="1" x14ac:dyDescent="0.3">
      <c r="A15" s="18" t="s">
        <v>203</v>
      </c>
      <c r="B15" s="1" t="s">
        <v>14</v>
      </c>
      <c r="C15" s="1" t="s">
        <v>37</v>
      </c>
      <c r="D15" s="1" t="s">
        <v>38</v>
      </c>
      <c r="E15" s="1" t="s">
        <v>36</v>
      </c>
      <c r="F15" s="1" t="s">
        <v>410</v>
      </c>
      <c r="G15" s="1" t="s">
        <v>141</v>
      </c>
      <c r="H15" s="1" t="s">
        <v>140</v>
      </c>
      <c r="I15" s="1" t="s">
        <v>263</v>
      </c>
      <c r="J15" s="1" t="s">
        <v>264</v>
      </c>
      <c r="K15" s="1" t="s">
        <v>385</v>
      </c>
      <c r="L15" s="1" t="s">
        <v>42</v>
      </c>
      <c r="M15" s="1" t="s">
        <v>46</v>
      </c>
      <c r="N15" s="1" t="s">
        <v>414</v>
      </c>
      <c r="O15" s="6">
        <v>100</v>
      </c>
      <c r="P15" s="6">
        <v>1</v>
      </c>
      <c r="Q15" s="6">
        <v>1</v>
      </c>
      <c r="R15" s="4">
        <v>7</v>
      </c>
      <c r="S15" s="19">
        <v>7</v>
      </c>
      <c r="T15" t="s">
        <v>702</v>
      </c>
    </row>
    <row r="16" spans="1:20" ht="15.75" thickBot="1" x14ac:dyDescent="0.3">
      <c r="A16" s="18" t="s">
        <v>203</v>
      </c>
      <c r="B16" s="1" t="s">
        <v>14</v>
      </c>
      <c r="C16" s="1" t="s">
        <v>37</v>
      </c>
      <c r="D16" s="1" t="s">
        <v>38</v>
      </c>
      <c r="E16" s="1" t="s">
        <v>36</v>
      </c>
      <c r="F16" s="1" t="s">
        <v>410</v>
      </c>
      <c r="G16" s="1" t="s">
        <v>141</v>
      </c>
      <c r="H16" s="1" t="s">
        <v>140</v>
      </c>
      <c r="I16" s="1" t="s">
        <v>260</v>
      </c>
      <c r="J16" s="1" t="s">
        <v>261</v>
      </c>
      <c r="K16" s="1" t="s">
        <v>385</v>
      </c>
      <c r="L16" s="1" t="s">
        <v>42</v>
      </c>
      <c r="M16" s="1" t="s">
        <v>46</v>
      </c>
      <c r="N16" s="1" t="s">
        <v>414</v>
      </c>
      <c r="O16" s="8">
        <v>100</v>
      </c>
      <c r="P16" s="8">
        <v>1</v>
      </c>
      <c r="Q16" s="8">
        <v>1</v>
      </c>
      <c r="R16" s="5">
        <v>5</v>
      </c>
      <c r="S16" s="20">
        <v>5</v>
      </c>
      <c r="T16" t="s">
        <v>702</v>
      </c>
    </row>
    <row r="17" spans="1:20" ht="15.75" thickBot="1" x14ac:dyDescent="0.3">
      <c r="A17" s="18" t="s">
        <v>203</v>
      </c>
      <c r="B17" s="1" t="s">
        <v>14</v>
      </c>
      <c r="C17" s="1" t="s">
        <v>37</v>
      </c>
      <c r="D17" s="1" t="s">
        <v>38</v>
      </c>
      <c r="E17" s="1" t="s">
        <v>36</v>
      </c>
      <c r="F17" s="1" t="s">
        <v>410</v>
      </c>
      <c r="G17" s="1" t="s">
        <v>141</v>
      </c>
      <c r="H17" s="1" t="s">
        <v>140</v>
      </c>
      <c r="I17" s="1" t="s">
        <v>258</v>
      </c>
      <c r="J17" s="1" t="s">
        <v>259</v>
      </c>
      <c r="K17" s="1" t="s">
        <v>385</v>
      </c>
      <c r="L17" s="1" t="s">
        <v>42</v>
      </c>
      <c r="M17" s="1" t="s">
        <v>46</v>
      </c>
      <c r="N17" s="1" t="s">
        <v>414</v>
      </c>
      <c r="O17" s="6">
        <v>100</v>
      </c>
      <c r="P17" s="6">
        <v>1</v>
      </c>
      <c r="Q17" s="6">
        <v>1</v>
      </c>
      <c r="R17" s="4">
        <v>13</v>
      </c>
      <c r="S17" s="19">
        <v>13</v>
      </c>
      <c r="T17" t="s">
        <v>702</v>
      </c>
    </row>
    <row r="18" spans="1:20" ht="15.75" thickBot="1" x14ac:dyDescent="0.3">
      <c r="A18" s="18" t="s">
        <v>203</v>
      </c>
      <c r="B18" s="1" t="s">
        <v>14</v>
      </c>
      <c r="C18" s="1" t="s">
        <v>37</v>
      </c>
      <c r="D18" s="1" t="s">
        <v>38</v>
      </c>
      <c r="E18" s="1" t="s">
        <v>36</v>
      </c>
      <c r="F18" s="1" t="s">
        <v>410</v>
      </c>
      <c r="G18" s="1" t="s">
        <v>141</v>
      </c>
      <c r="H18" s="1" t="s">
        <v>140</v>
      </c>
      <c r="I18" s="1" t="s">
        <v>256</v>
      </c>
      <c r="J18" s="1" t="s">
        <v>257</v>
      </c>
      <c r="K18" s="1" t="s">
        <v>385</v>
      </c>
      <c r="L18" s="1" t="s">
        <v>42</v>
      </c>
      <c r="M18" s="1" t="s">
        <v>46</v>
      </c>
      <c r="N18" s="1" t="s">
        <v>414</v>
      </c>
      <c r="O18" s="8">
        <v>100</v>
      </c>
      <c r="P18" s="8">
        <v>1</v>
      </c>
      <c r="Q18" s="8">
        <v>1</v>
      </c>
      <c r="R18" s="5">
        <v>14</v>
      </c>
      <c r="S18" s="20">
        <v>14</v>
      </c>
      <c r="T18" t="s">
        <v>702</v>
      </c>
    </row>
    <row r="19" spans="1:20" ht="15.75" thickBot="1" x14ac:dyDescent="0.3">
      <c r="A19" s="18" t="s">
        <v>203</v>
      </c>
      <c r="B19" s="1" t="s">
        <v>14</v>
      </c>
      <c r="C19" s="1" t="s">
        <v>37</v>
      </c>
      <c r="D19" s="1" t="s">
        <v>38</v>
      </c>
      <c r="E19" s="1" t="s">
        <v>36</v>
      </c>
      <c r="F19" s="1" t="s">
        <v>410</v>
      </c>
      <c r="G19" s="1" t="s">
        <v>141</v>
      </c>
      <c r="H19" s="1" t="s">
        <v>140</v>
      </c>
      <c r="I19" s="1" t="s">
        <v>253</v>
      </c>
      <c r="J19" s="1" t="s">
        <v>254</v>
      </c>
      <c r="K19" s="1" t="s">
        <v>385</v>
      </c>
      <c r="L19" s="1" t="s">
        <v>42</v>
      </c>
      <c r="M19" s="1" t="s">
        <v>46</v>
      </c>
      <c r="N19" s="1" t="s">
        <v>414</v>
      </c>
      <c r="O19" s="6">
        <v>100</v>
      </c>
      <c r="P19" s="6">
        <v>1</v>
      </c>
      <c r="Q19" s="6">
        <v>1</v>
      </c>
      <c r="R19" s="4">
        <v>14</v>
      </c>
      <c r="S19" s="19">
        <v>14</v>
      </c>
      <c r="T19" t="s">
        <v>702</v>
      </c>
    </row>
    <row r="20" spans="1:20" ht="15.75" thickBot="1" x14ac:dyDescent="0.3">
      <c r="A20" s="18" t="s">
        <v>203</v>
      </c>
      <c r="B20" s="1" t="s">
        <v>14</v>
      </c>
      <c r="C20" s="1" t="s">
        <v>37</v>
      </c>
      <c r="D20" s="1" t="s">
        <v>38</v>
      </c>
      <c r="E20" s="1" t="s">
        <v>36</v>
      </c>
      <c r="F20" s="1" t="s">
        <v>410</v>
      </c>
      <c r="G20" s="1" t="s">
        <v>141</v>
      </c>
      <c r="H20" s="1" t="s">
        <v>140</v>
      </c>
      <c r="I20" s="1" t="s">
        <v>250</v>
      </c>
      <c r="J20" s="1" t="s">
        <v>251</v>
      </c>
      <c r="K20" s="1" t="s">
        <v>385</v>
      </c>
      <c r="L20" s="1" t="s">
        <v>42</v>
      </c>
      <c r="M20" s="1" t="s">
        <v>46</v>
      </c>
      <c r="N20" s="1" t="s">
        <v>414</v>
      </c>
      <c r="O20" s="8">
        <v>100</v>
      </c>
      <c r="P20" s="8">
        <v>1</v>
      </c>
      <c r="Q20" s="8">
        <v>1</v>
      </c>
      <c r="R20" s="5">
        <v>14</v>
      </c>
      <c r="S20" s="20">
        <v>14</v>
      </c>
      <c r="T20" t="s">
        <v>702</v>
      </c>
    </row>
    <row r="21" spans="1:20" ht="15.75" thickBot="1" x14ac:dyDescent="0.3">
      <c r="A21" s="18" t="s">
        <v>203</v>
      </c>
      <c r="B21" s="1" t="s">
        <v>14</v>
      </c>
      <c r="C21" s="1" t="s">
        <v>37</v>
      </c>
      <c r="D21" s="1" t="s">
        <v>38</v>
      </c>
      <c r="E21" s="1" t="s">
        <v>36</v>
      </c>
      <c r="F21" s="1" t="s">
        <v>410</v>
      </c>
      <c r="G21" s="1" t="s">
        <v>141</v>
      </c>
      <c r="H21" s="1" t="s">
        <v>140</v>
      </c>
      <c r="I21" s="1" t="s">
        <v>247</v>
      </c>
      <c r="J21" s="1" t="s">
        <v>248</v>
      </c>
      <c r="K21" s="1" t="s">
        <v>385</v>
      </c>
      <c r="L21" s="1" t="s">
        <v>42</v>
      </c>
      <c r="M21" s="1" t="s">
        <v>46</v>
      </c>
      <c r="N21" s="1" t="s">
        <v>414</v>
      </c>
      <c r="O21" s="6">
        <v>100</v>
      </c>
      <c r="P21" s="6">
        <v>1</v>
      </c>
      <c r="Q21" s="6">
        <v>1</v>
      </c>
      <c r="R21" s="4">
        <v>14</v>
      </c>
      <c r="S21" s="19">
        <v>14</v>
      </c>
      <c r="T21" t="s">
        <v>702</v>
      </c>
    </row>
    <row r="22" spans="1:20" ht="15.75" thickBot="1" x14ac:dyDescent="0.3">
      <c r="A22" s="18" t="s">
        <v>203</v>
      </c>
      <c r="B22" s="1" t="s">
        <v>14</v>
      </c>
      <c r="C22" s="1" t="s">
        <v>37</v>
      </c>
      <c r="D22" s="1" t="s">
        <v>38</v>
      </c>
      <c r="E22" s="1" t="s">
        <v>36</v>
      </c>
      <c r="F22" s="1" t="s">
        <v>410</v>
      </c>
      <c r="G22" s="1" t="s">
        <v>141</v>
      </c>
      <c r="H22" s="1" t="s">
        <v>140</v>
      </c>
      <c r="I22" s="1" t="s">
        <v>244</v>
      </c>
      <c r="J22" s="1" t="s">
        <v>245</v>
      </c>
      <c r="K22" s="1" t="s">
        <v>385</v>
      </c>
      <c r="L22" s="1" t="s">
        <v>42</v>
      </c>
      <c r="M22" s="1" t="s">
        <v>46</v>
      </c>
      <c r="N22" s="1" t="s">
        <v>414</v>
      </c>
      <c r="O22" s="8">
        <v>100</v>
      </c>
      <c r="P22" s="8">
        <v>1</v>
      </c>
      <c r="Q22" s="8">
        <v>1</v>
      </c>
      <c r="R22" s="5">
        <v>1</v>
      </c>
      <c r="S22" s="20">
        <v>1</v>
      </c>
      <c r="T22" t="s">
        <v>702</v>
      </c>
    </row>
    <row r="23" spans="1:20" ht="15.75" thickBot="1" x14ac:dyDescent="0.3">
      <c r="A23" s="18" t="s">
        <v>203</v>
      </c>
      <c r="B23" s="1" t="s">
        <v>14</v>
      </c>
      <c r="C23" s="1" t="s">
        <v>37</v>
      </c>
      <c r="D23" s="1" t="s">
        <v>38</v>
      </c>
      <c r="E23" s="1" t="s">
        <v>36</v>
      </c>
      <c r="F23" s="1" t="s">
        <v>410</v>
      </c>
      <c r="G23" s="1" t="s">
        <v>141</v>
      </c>
      <c r="H23" s="1" t="s">
        <v>140</v>
      </c>
      <c r="I23" s="1" t="s">
        <v>241</v>
      </c>
      <c r="J23" s="1" t="s">
        <v>242</v>
      </c>
      <c r="K23" s="1" t="s">
        <v>385</v>
      </c>
      <c r="L23" s="1" t="s">
        <v>42</v>
      </c>
      <c r="M23" s="1" t="s">
        <v>46</v>
      </c>
      <c r="N23" s="1" t="s">
        <v>414</v>
      </c>
      <c r="O23" s="6">
        <v>100</v>
      </c>
      <c r="P23" s="6">
        <v>1</v>
      </c>
      <c r="Q23" s="6">
        <v>1</v>
      </c>
      <c r="R23" s="4">
        <v>10</v>
      </c>
      <c r="S23" s="19">
        <v>10</v>
      </c>
      <c r="T23" t="s">
        <v>702</v>
      </c>
    </row>
    <row r="24" spans="1:20" ht="15.75" thickBot="1" x14ac:dyDescent="0.3">
      <c r="A24" s="18" t="s">
        <v>203</v>
      </c>
      <c r="B24" s="1" t="s">
        <v>14</v>
      </c>
      <c r="C24" s="1" t="s">
        <v>135</v>
      </c>
      <c r="D24" s="1" t="s">
        <v>136</v>
      </c>
      <c r="E24" s="1" t="s">
        <v>36</v>
      </c>
      <c r="F24" s="1" t="s">
        <v>410</v>
      </c>
      <c r="G24" s="1" t="s">
        <v>141</v>
      </c>
      <c r="H24" s="1" t="s">
        <v>140</v>
      </c>
      <c r="I24" s="1" t="s">
        <v>401</v>
      </c>
      <c r="J24" s="1" t="s">
        <v>402</v>
      </c>
      <c r="K24" s="1" t="s">
        <v>161</v>
      </c>
      <c r="L24" s="1" t="s">
        <v>42</v>
      </c>
      <c r="M24" s="1" t="s">
        <v>46</v>
      </c>
      <c r="N24" s="1" t="s">
        <v>414</v>
      </c>
      <c r="O24" s="6">
        <v>0</v>
      </c>
      <c r="P24" s="6">
        <v>0</v>
      </c>
      <c r="Q24" s="6">
        <v>1</v>
      </c>
      <c r="R24" s="4">
        <v>0</v>
      </c>
      <c r="S24" s="19">
        <v>9</v>
      </c>
      <c r="T24" t="s">
        <v>703</v>
      </c>
    </row>
    <row r="25" spans="1:20" ht="15.75" thickBot="1" x14ac:dyDescent="0.3">
      <c r="A25" s="18" t="s">
        <v>203</v>
      </c>
      <c r="B25" s="1" t="s">
        <v>14</v>
      </c>
      <c r="C25" s="1" t="s">
        <v>135</v>
      </c>
      <c r="D25" s="1" t="s">
        <v>136</v>
      </c>
      <c r="E25" s="1" t="s">
        <v>36</v>
      </c>
      <c r="F25" s="1" t="s">
        <v>410</v>
      </c>
      <c r="G25" s="1" t="s">
        <v>141</v>
      </c>
      <c r="H25" s="1" t="s">
        <v>140</v>
      </c>
      <c r="I25" s="1" t="s">
        <v>343</v>
      </c>
      <c r="J25" s="1" t="s">
        <v>344</v>
      </c>
      <c r="K25" s="1" t="s">
        <v>139</v>
      </c>
      <c r="L25" s="1" t="s">
        <v>42</v>
      </c>
      <c r="M25" s="1" t="s">
        <v>46</v>
      </c>
      <c r="N25" s="1" t="s">
        <v>414</v>
      </c>
      <c r="O25" s="8">
        <v>100</v>
      </c>
      <c r="P25" s="8">
        <v>1</v>
      </c>
      <c r="Q25" s="8">
        <v>1</v>
      </c>
      <c r="R25" s="5">
        <v>9</v>
      </c>
      <c r="S25" s="20">
        <v>9</v>
      </c>
      <c r="T25" t="s">
        <v>702</v>
      </c>
    </row>
    <row r="26" spans="1:20" ht="15.75" thickBot="1" x14ac:dyDescent="0.3">
      <c r="A26" s="18" t="s">
        <v>203</v>
      </c>
      <c r="B26" s="1" t="s">
        <v>14</v>
      </c>
      <c r="C26" s="1" t="s">
        <v>135</v>
      </c>
      <c r="D26" s="1" t="s">
        <v>136</v>
      </c>
      <c r="E26" s="1" t="s">
        <v>36</v>
      </c>
      <c r="F26" s="1" t="s">
        <v>410</v>
      </c>
      <c r="G26" s="1" t="s">
        <v>141</v>
      </c>
      <c r="H26" s="1" t="s">
        <v>140</v>
      </c>
      <c r="I26" s="1" t="s">
        <v>403</v>
      </c>
      <c r="J26" s="1" t="s">
        <v>404</v>
      </c>
      <c r="K26" s="1" t="s">
        <v>385</v>
      </c>
      <c r="L26" s="1" t="s">
        <v>42</v>
      </c>
      <c r="M26" s="1" t="s">
        <v>46</v>
      </c>
      <c r="N26" s="1" t="s">
        <v>414</v>
      </c>
      <c r="O26" s="6">
        <v>100</v>
      </c>
      <c r="P26" s="6">
        <v>1</v>
      </c>
      <c r="Q26" s="6">
        <v>1</v>
      </c>
      <c r="R26" s="4">
        <v>9</v>
      </c>
      <c r="S26" s="19">
        <v>9</v>
      </c>
      <c r="T26" t="s">
        <v>702</v>
      </c>
    </row>
    <row r="27" spans="1:20" ht="15.75" thickBot="1" x14ac:dyDescent="0.3">
      <c r="A27" s="18" t="s">
        <v>203</v>
      </c>
      <c r="B27" s="1" t="s">
        <v>14</v>
      </c>
      <c r="C27" s="1" t="s">
        <v>135</v>
      </c>
      <c r="D27" s="1" t="s">
        <v>136</v>
      </c>
      <c r="E27" s="1" t="s">
        <v>111</v>
      </c>
      <c r="F27" s="1" t="s">
        <v>412</v>
      </c>
      <c r="G27" s="1" t="s">
        <v>141</v>
      </c>
      <c r="H27" s="1" t="s">
        <v>140</v>
      </c>
      <c r="I27" s="1" t="s">
        <v>405</v>
      </c>
      <c r="J27" s="1" t="s">
        <v>138</v>
      </c>
      <c r="K27" s="1" t="s">
        <v>84</v>
      </c>
      <c r="L27" s="1" t="s">
        <v>42</v>
      </c>
      <c r="M27" s="1" t="s">
        <v>115</v>
      </c>
      <c r="N27" s="1" t="s">
        <v>699</v>
      </c>
      <c r="O27" s="8">
        <v>0</v>
      </c>
      <c r="P27" s="8">
        <v>0</v>
      </c>
      <c r="Q27" s="8">
        <v>1</v>
      </c>
      <c r="R27" s="5">
        <v>0</v>
      </c>
      <c r="S27" s="20">
        <v>9</v>
      </c>
      <c r="T27" t="s">
        <v>703</v>
      </c>
    </row>
    <row r="28" spans="1:20" ht="15.75" thickBot="1" x14ac:dyDescent="0.3">
      <c r="A28" s="18" t="s">
        <v>203</v>
      </c>
      <c r="B28" s="1" t="s">
        <v>14</v>
      </c>
      <c r="C28" s="1" t="s">
        <v>135</v>
      </c>
      <c r="D28" s="1" t="s">
        <v>177</v>
      </c>
      <c r="E28" s="1" t="s">
        <v>22</v>
      </c>
      <c r="F28" s="1" t="s">
        <v>407</v>
      </c>
      <c r="G28" s="1" t="s">
        <v>141</v>
      </c>
      <c r="H28" s="1" t="s">
        <v>140</v>
      </c>
      <c r="I28" s="1" t="s">
        <v>346</v>
      </c>
      <c r="J28" s="1" t="s">
        <v>347</v>
      </c>
      <c r="K28" s="1" t="s">
        <v>385</v>
      </c>
      <c r="L28" s="1" t="s">
        <v>42</v>
      </c>
      <c r="M28" s="1" t="s">
        <v>30</v>
      </c>
      <c r="N28" s="1" t="s">
        <v>409</v>
      </c>
      <c r="O28" s="6">
        <v>100</v>
      </c>
      <c r="P28" s="6">
        <v>1</v>
      </c>
      <c r="Q28" s="6">
        <v>1</v>
      </c>
      <c r="R28" s="4">
        <v>1</v>
      </c>
      <c r="S28" s="19">
        <v>1</v>
      </c>
      <c r="T28" t="s">
        <v>702</v>
      </c>
    </row>
    <row r="29" spans="1:20" ht="15.75" thickBot="1" x14ac:dyDescent="0.3">
      <c r="A29" s="18" t="s">
        <v>203</v>
      </c>
      <c r="B29" s="1" t="s">
        <v>14</v>
      </c>
      <c r="C29" s="1" t="s">
        <v>135</v>
      </c>
      <c r="D29" s="1" t="s">
        <v>177</v>
      </c>
      <c r="E29" s="1" t="s">
        <v>22</v>
      </c>
      <c r="F29" s="1" t="s">
        <v>407</v>
      </c>
      <c r="G29" s="1" t="s">
        <v>181</v>
      </c>
      <c r="H29" s="1" t="s">
        <v>180</v>
      </c>
      <c r="I29" s="1" t="s">
        <v>351</v>
      </c>
      <c r="J29" s="1" t="s">
        <v>352</v>
      </c>
      <c r="K29" s="1" t="s">
        <v>385</v>
      </c>
      <c r="L29" s="1" t="s">
        <v>42</v>
      </c>
      <c r="M29" s="1" t="s">
        <v>30</v>
      </c>
      <c r="N29" s="1" t="s">
        <v>409</v>
      </c>
      <c r="O29" s="8">
        <v>100</v>
      </c>
      <c r="P29" s="8">
        <v>1</v>
      </c>
      <c r="Q29" s="8">
        <v>1</v>
      </c>
      <c r="R29" s="5">
        <v>1</v>
      </c>
      <c r="S29" s="20">
        <v>1</v>
      </c>
      <c r="T29" t="s">
        <v>702</v>
      </c>
    </row>
    <row r="30" spans="1:20" ht="15.75" thickBot="1" x14ac:dyDescent="0.3">
      <c r="A30" s="18" t="s">
        <v>203</v>
      </c>
      <c r="B30" s="1" t="s">
        <v>14</v>
      </c>
      <c r="C30" s="1" t="s">
        <v>135</v>
      </c>
      <c r="D30" s="1" t="s">
        <v>177</v>
      </c>
      <c r="E30" s="1" t="s">
        <v>22</v>
      </c>
      <c r="F30" s="1" t="s">
        <v>407</v>
      </c>
      <c r="G30" s="1" t="s">
        <v>181</v>
      </c>
      <c r="H30" s="1" t="s">
        <v>180</v>
      </c>
      <c r="I30" s="1" t="s">
        <v>349</v>
      </c>
      <c r="J30" s="1" t="s">
        <v>350</v>
      </c>
      <c r="K30" s="1" t="s">
        <v>385</v>
      </c>
      <c r="L30" s="1" t="s">
        <v>42</v>
      </c>
      <c r="M30" s="1" t="s">
        <v>30</v>
      </c>
      <c r="N30" s="1" t="s">
        <v>409</v>
      </c>
      <c r="O30" s="6">
        <v>100</v>
      </c>
      <c r="P30" s="6">
        <v>1</v>
      </c>
      <c r="Q30" s="6">
        <v>1</v>
      </c>
      <c r="R30" s="4">
        <v>1</v>
      </c>
      <c r="S30" s="19">
        <v>1</v>
      </c>
      <c r="T30" t="s">
        <v>702</v>
      </c>
    </row>
    <row r="31" spans="1:20" x14ac:dyDescent="0.25">
      <c r="A31" s="25" t="s">
        <v>31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6"/>
      <c r="O31" s="31">
        <v>88.297872340425528</v>
      </c>
      <c r="P31" s="31">
        <v>0.88297872340425532</v>
      </c>
      <c r="Q31" s="31">
        <v>1</v>
      </c>
      <c r="R31" s="32">
        <v>166</v>
      </c>
      <c r="S31" s="27">
        <v>188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Tabla</vt:lpstr>
      <vt:lpstr>Avisos Pendientes</vt:lpstr>
      <vt:lpstr>Órdenes Pendientes</vt:lpstr>
      <vt:lpstr>% Trabajo Planificado</vt:lpstr>
      <vt:lpstr>Programa Semanal</vt:lpstr>
      <vt:lpstr>Plan 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Contreras</dc:creator>
  <cp:lastModifiedBy>José Contreras</cp:lastModifiedBy>
  <dcterms:created xsi:type="dcterms:W3CDTF">2026-05-25T12:58:13Z</dcterms:created>
  <dcterms:modified xsi:type="dcterms:W3CDTF">2026-05-25T15:27:48Z</dcterms:modified>
</cp:coreProperties>
</file>